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showObjects="none"/>
  <mc:AlternateContent xmlns:mc="http://schemas.openxmlformats.org/markup-compatibility/2006">
    <mc:Choice Requires="x15">
      <x15ac:absPath xmlns:x15ac="http://schemas.microsoft.com/office/spreadsheetml/2010/11/ac" url="https://cognizantonlineeur-my.sharepoint.com/personal/2245419_cognizant_com/Documents/Documents/OceanBlueCloud_062023/DailyUseFile_Aug2025/"/>
    </mc:Choice>
  </mc:AlternateContent>
  <xr:revisionPtr revIDLastSave="11700" documentId="13_ncr:1_{D46BB410-D25E-4C42-8C13-2F1B18B2A726}" xr6:coauthVersionLast="47" xr6:coauthVersionMax="47" xr10:uidLastSave="{14FE8D07-4AA4-43B2-A7E2-D4EA3B01FC20}"/>
  <bookViews>
    <workbookView xWindow="-120" yWindow="-120" windowWidth="29040" windowHeight="15720" tabRatio="820" firstSheet="1" activeTab="5" xr2:uid="{00000000-000D-0000-FFFF-FFFF00000000}"/>
  </bookViews>
  <sheets>
    <sheet name="Money" sheetId="3" r:id="rId1"/>
    <sheet name="Spain" sheetId="12" r:id="rId2"/>
    <sheet name="Coins" sheetId="17" r:id="rId3"/>
    <sheet name="PF" sheetId="2" r:id="rId4"/>
    <sheet name="MFs" sheetId="21" r:id="rId5"/>
    <sheet name="LogNew" sheetId="22" r:id="rId6"/>
    <sheet name="Zerodha" sheetId="15" r:id="rId7"/>
    <sheet name="INFO" sheetId="9" r:id="rId8"/>
    <sheet name="MFs Old" sheetId="14" r:id="rId9"/>
    <sheet name="Home" sheetId="20" r:id="rId10"/>
    <sheet name="PDM" sheetId="8" r:id="rId11"/>
    <sheet name="Papa" sheetId="19" r:id="rId12"/>
    <sheet name="BvR" sheetId="18" r:id="rId13"/>
    <sheet name="Rent Calc" sheetId="7" r:id="rId14"/>
  </sheets>
  <definedNames>
    <definedName name="_xlnm._FilterDatabase" localSheetId="8" hidden="1">'MFs Old'!$A$1:$AD$42</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31" i="21" l="1"/>
  <c r="H69" i="21"/>
  <c r="H46" i="21"/>
  <c r="H33" i="21"/>
  <c r="J32" i="21"/>
  <c r="J67" i="21"/>
  <c r="K10" i="17"/>
  <c r="K4" i="17"/>
  <c r="K21" i="17" l="1"/>
  <c r="K16" i="17"/>
  <c r="K15" i="17"/>
  <c r="K11" i="17"/>
  <c r="K5" i="17"/>
  <c r="I33" i="17"/>
  <c r="J33" i="17"/>
  <c r="C75" i="17"/>
  <c r="J13" i="3"/>
  <c r="J12" i="3"/>
  <c r="J10" i="3"/>
  <c r="J7" i="3"/>
  <c r="J5" i="3"/>
  <c r="J9" i="3"/>
  <c r="T35" i="3"/>
  <c r="U35" i="3"/>
  <c r="X35" i="3" s="1"/>
  <c r="L35" i="3"/>
  <c r="J11" i="3"/>
  <c r="J6" i="3"/>
  <c r="C31" i="2"/>
  <c r="D16" i="21"/>
  <c r="J30" i="21"/>
  <c r="J28" i="21"/>
  <c r="J29" i="21"/>
  <c r="X32" i="3"/>
  <c r="L34" i="3"/>
  <c r="X34" i="3" s="1"/>
  <c r="F79" i="20"/>
  <c r="F78" i="20"/>
  <c r="F80" i="20" s="1"/>
  <c r="C88" i="20"/>
  <c r="C85" i="20"/>
  <c r="J14" i="3" l="1"/>
  <c r="K14" i="3" l="1"/>
  <c r="K6" i="3"/>
  <c r="K8" i="3"/>
  <c r="K13" i="3"/>
  <c r="K5" i="3"/>
  <c r="K12" i="3"/>
  <c r="K11" i="3"/>
  <c r="K10" i="3"/>
  <c r="K7" i="3"/>
  <c r="K9" i="3"/>
  <c r="G14" i="12"/>
  <c r="K69" i="20"/>
  <c r="T69" i="20"/>
  <c r="Q66" i="20"/>
  <c r="Q65" i="20"/>
  <c r="Q64" i="20"/>
  <c r="M67" i="20"/>
  <c r="C83" i="21"/>
  <c r="C84" i="21" s="1"/>
  <c r="C85" i="21" s="1"/>
  <c r="C86" i="21" s="1"/>
  <c r="C87" i="21" s="1"/>
  <c r="Q24" i="19"/>
  <c r="Q25" i="19"/>
  <c r="Q26" i="19"/>
  <c r="Q23" i="19"/>
  <c r="O26" i="19"/>
  <c r="O25" i="19"/>
  <c r="O24" i="19"/>
  <c r="O23" i="19"/>
  <c r="G55" i="9"/>
  <c r="E43" i="17" l="1"/>
  <c r="D28" i="20" l="1"/>
  <c r="E26" i="20"/>
  <c r="A13" i="2"/>
  <c r="A14" i="2" s="1"/>
  <c r="A15" i="2" s="1"/>
  <c r="A16" i="2" s="1"/>
  <c r="A17" i="2" s="1"/>
  <c r="A18" i="2" s="1"/>
  <c r="C19" i="2"/>
  <c r="H10" i="8"/>
  <c r="M6" i="8"/>
  <c r="F31" i="8"/>
  <c r="H5" i="8"/>
  <c r="C11" i="3" l="1"/>
  <c r="I24" i="21"/>
  <c r="A33" i="14"/>
  <c r="I46" i="21"/>
  <c r="C54" i="21"/>
  <c r="C55" i="21" s="1"/>
  <c r="C56" i="21" s="1"/>
  <c r="C57" i="21" s="1"/>
  <c r="C58" i="21" s="1"/>
  <c r="C59" i="21" s="1"/>
  <c r="C60" i="21" s="1"/>
  <c r="C61" i="21" s="1"/>
  <c r="C62" i="21" s="1"/>
  <c r="C63" i="21" s="1"/>
  <c r="C64" i="21" s="1"/>
  <c r="C65" i="21" s="1"/>
  <c r="C66" i="21" s="1"/>
  <c r="C67" i="21" s="1"/>
  <c r="F33" i="14"/>
  <c r="W32" i="14"/>
  <c r="W33" i="14"/>
  <c r="F32" i="14"/>
  <c r="A40" i="17"/>
  <c r="J47" i="3"/>
  <c r="K47" i="3" s="1"/>
  <c r="E50" i="3"/>
  <c r="E51" i="3"/>
  <c r="T34" i="3"/>
  <c r="U34" i="3" s="1"/>
  <c r="T33" i="3"/>
  <c r="U33" i="3" s="1"/>
  <c r="D33" i="3"/>
  <c r="L33" i="3" s="1"/>
  <c r="T32" i="3"/>
  <c r="U32" i="3" s="1"/>
  <c r="L32" i="3"/>
  <c r="G31" i="3"/>
  <c r="L31" i="3" s="1"/>
  <c r="L30" i="3"/>
  <c r="K29" i="3"/>
  <c r="L29" i="3" s="1"/>
  <c r="L28" i="3"/>
  <c r="C36" i="20"/>
  <c r="C35" i="20"/>
  <c r="C34" i="20"/>
  <c r="C33" i="20" l="1"/>
  <c r="C37" i="20"/>
  <c r="J46" i="21"/>
  <c r="X33" i="3"/>
  <c r="D34" i="3"/>
  <c r="A79" i="20"/>
  <c r="K57" i="20"/>
  <c r="M7" i="8"/>
  <c r="F26" i="8"/>
  <c r="F30" i="8" s="1"/>
  <c r="L223" i="22"/>
  <c r="E53" i="20"/>
  <c r="C42" i="20"/>
  <c r="C46" i="20" s="1"/>
  <c r="D46" i="20" s="1"/>
  <c r="H42" i="20"/>
  <c r="H43" i="20" s="1"/>
  <c r="H44" i="20" s="1"/>
  <c r="H45" i="20" s="1"/>
  <c r="H46" i="20" s="1"/>
  <c r="H47" i="20" s="1"/>
  <c r="H48" i="20" s="1"/>
  <c r="H49" i="20" s="1"/>
  <c r="H50" i="20" s="1"/>
  <c r="C67" i="3"/>
  <c r="V32" i="14"/>
  <c r="A32" i="14"/>
  <c r="J45" i="21"/>
  <c r="J44" i="21"/>
  <c r="J43" i="21"/>
  <c r="A16" i="20"/>
  <c r="A17" i="20" s="1"/>
  <c r="A18" i="20" s="1"/>
  <c r="A19" i="20" s="1"/>
  <c r="A20" i="20" s="1"/>
  <c r="A21" i="20" s="1"/>
  <c r="A22" i="20" s="1"/>
  <c r="A23" i="20" s="1"/>
  <c r="A24" i="20" s="1"/>
  <c r="A25" i="20" s="1"/>
  <c r="A27" i="20" s="1"/>
  <c r="C55" i="20"/>
  <c r="C56" i="20" s="1"/>
  <c r="D51" i="20"/>
  <c r="F51" i="20" s="1"/>
  <c r="C49" i="20"/>
  <c r="U28" i="18"/>
  <c r="U29" i="18" s="1"/>
  <c r="U30" i="18" s="1"/>
  <c r="P28" i="18"/>
  <c r="P27" i="18" s="1"/>
  <c r="P35" i="18"/>
  <c r="P34" i="18" s="1"/>
  <c r="P36" i="18" s="1"/>
  <c r="O33" i="18"/>
  <c r="U35" i="18"/>
  <c r="U36" i="18" s="1"/>
  <c r="U37" i="18" s="1"/>
  <c r="F30" i="14"/>
  <c r="F29" i="14"/>
  <c r="F28" i="14"/>
  <c r="F20" i="14"/>
  <c r="F13" i="14"/>
  <c r="F11" i="14"/>
  <c r="A3" i="14"/>
  <c r="A4" i="14" s="1"/>
  <c r="A5" i="14" s="1"/>
  <c r="A6" i="14" s="1"/>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6" i="14"/>
  <c r="A37" i="14" s="1"/>
  <c r="A38" i="14" s="1"/>
  <c r="A39" i="14" s="1"/>
  <c r="A40" i="14" s="1"/>
  <c r="A41" i="14" s="1"/>
  <c r="A42" i="14" s="1"/>
  <c r="W31" i="14"/>
  <c r="F31" i="14" s="1"/>
  <c r="U22" i="18"/>
  <c r="U21" i="18"/>
  <c r="T23" i="18"/>
  <c r="K38" i="18"/>
  <c r="Q39" i="18"/>
  <c r="O40" i="18"/>
  <c r="O26" i="18"/>
  <c r="O18" i="18"/>
  <c r="O20" i="18" s="1"/>
  <c r="W17" i="14"/>
  <c r="F17" i="14" s="1"/>
  <c r="W16" i="14"/>
  <c r="F16" i="14" s="1"/>
  <c r="W15" i="14"/>
  <c r="F15" i="14" s="1"/>
  <c r="W10" i="14"/>
  <c r="F10" i="14" s="1"/>
  <c r="C21" i="21"/>
  <c r="C22" i="21" s="1"/>
  <c r="C23" i="21" s="1"/>
  <c r="U9" i="14"/>
  <c r="U11" i="14"/>
  <c r="C44" i="21"/>
  <c r="C45" i="21" s="1"/>
  <c r="C39" i="21" s="1"/>
  <c r="C40" i="21" s="1"/>
  <c r="C41" i="21" s="1"/>
  <c r="C42" i="21" s="1"/>
  <c r="Q40" i="14"/>
  <c r="Q39" i="14"/>
  <c r="Q38" i="14"/>
  <c r="Q35" i="14"/>
  <c r="C34" i="18"/>
  <c r="F28" i="18"/>
  <c r="E28" i="18"/>
  <c r="D28" i="18"/>
  <c r="C28" i="18"/>
  <c r="E19" i="18"/>
  <c r="E30" i="18" s="1"/>
  <c r="F19" i="18"/>
  <c r="F30" i="18" s="1"/>
  <c r="C19" i="18"/>
  <c r="C30" i="18" s="1"/>
  <c r="D19" i="18"/>
  <c r="D30" i="18" s="1"/>
  <c r="J73" i="15"/>
  <c r="J72" i="15"/>
  <c r="I11" i="18"/>
  <c r="I13" i="18" s="1"/>
  <c r="I8" i="18"/>
  <c r="D9" i="18"/>
  <c r="E9" i="18" s="1"/>
  <c r="P14" i="19"/>
  <c r="P9" i="19"/>
  <c r="P8" i="19"/>
  <c r="P7" i="19"/>
  <c r="X7" i="19" s="1"/>
  <c r="P6" i="19"/>
  <c r="X6" i="19" s="1"/>
  <c r="C56" i="15"/>
  <c r="E43" i="15"/>
  <c r="G43" i="15" s="1"/>
  <c r="D7" i="18"/>
  <c r="E7" i="18" s="1"/>
  <c r="E12" i="18"/>
  <c r="E11" i="18"/>
  <c r="D6" i="18"/>
  <c r="E6" i="18" s="1"/>
  <c r="D10" i="18"/>
  <c r="E10" i="18" s="1"/>
  <c r="D8" i="18"/>
  <c r="E8" i="18" s="1"/>
  <c r="E49" i="3"/>
  <c r="K96" i="7"/>
  <c r="K101" i="7" s="1"/>
  <c r="Q42" i="14"/>
  <c r="Q41" i="14"/>
  <c r="H71" i="14"/>
  <c r="G71" i="14"/>
  <c r="I69" i="14"/>
  <c r="J69" i="14" s="1"/>
  <c r="I68" i="14"/>
  <c r="J68" i="14" s="1"/>
  <c r="C59" i="3"/>
  <c r="V5" i="14"/>
  <c r="E48" i="3"/>
  <c r="E42" i="15"/>
  <c r="G42" i="15" s="1"/>
  <c r="R34" i="18" l="1"/>
  <c r="P18" i="18"/>
  <c r="O41" i="18" s="1"/>
  <c r="R28" i="18"/>
  <c r="R27" i="18"/>
  <c r="P29" i="18"/>
  <c r="R35" i="18"/>
  <c r="O42" i="18"/>
  <c r="O45" i="18" s="1"/>
  <c r="C38" i="20"/>
  <c r="M29" i="8"/>
  <c r="D50" i="20"/>
  <c r="F50" i="20" s="1"/>
  <c r="C57" i="20"/>
  <c r="W36" i="18"/>
  <c r="I15" i="18"/>
  <c r="C21" i="18"/>
  <c r="E21" i="18"/>
  <c r="F21" i="18"/>
  <c r="D21" i="18"/>
  <c r="J80" i="15"/>
  <c r="I71" i="14"/>
  <c r="J71" i="14" s="1"/>
  <c r="W5" i="14"/>
  <c r="F5" i="14" s="1"/>
  <c r="A10" i="17"/>
  <c r="A15" i="17" s="1"/>
  <c r="K90" i="3"/>
  <c r="E41" i="15"/>
  <c r="E40" i="15"/>
  <c r="D52" i="20" l="1"/>
  <c r="E39" i="15"/>
  <c r="E38" i="15"/>
  <c r="E37" i="15"/>
  <c r="J64" i="3"/>
  <c r="J63" i="3"/>
  <c r="D12" i="15"/>
  <c r="F12" i="15" s="1"/>
  <c r="G12" i="15" s="1"/>
  <c r="I12" i="15" s="1"/>
  <c r="E29" i="15"/>
  <c r="E36" i="15"/>
  <c r="E35" i="15"/>
  <c r="D108" i="7"/>
  <c r="E34" i="15"/>
  <c r="E33" i="15"/>
  <c r="E32" i="15"/>
  <c r="V22" i="14"/>
  <c r="V21" i="14"/>
  <c r="V13" i="14"/>
  <c r="V18" i="14"/>
  <c r="E31" i="15"/>
  <c r="J65" i="3" l="1"/>
  <c r="E30" i="15"/>
  <c r="Q14" i="14" l="1"/>
  <c r="W14" i="14" s="1"/>
  <c r="F14" i="14" s="1"/>
  <c r="W18" i="14" l="1"/>
  <c r="F18" i="14" s="1"/>
  <c r="W21" i="14"/>
  <c r="F21" i="14" s="1"/>
  <c r="W22" i="14"/>
  <c r="F22" i="14" s="1"/>
  <c r="D107" i="7" l="1"/>
  <c r="E34" i="7" l="1"/>
  <c r="E30" i="7"/>
  <c r="E29" i="7"/>
  <c r="F28" i="15" l="1"/>
  <c r="E28" i="15"/>
  <c r="G28" i="15" l="1"/>
  <c r="F29" i="15"/>
  <c r="C73" i="2"/>
  <c r="F30" i="15" l="1"/>
  <c r="G29" i="15"/>
  <c r="H28" i="15" s="1"/>
  <c r="F31" i="15" l="1"/>
  <c r="G30" i="15"/>
  <c r="H29" i="15" s="1"/>
  <c r="E27" i="15"/>
  <c r="G27" i="15" s="1"/>
  <c r="F32" i="15" l="1"/>
  <c r="F33" i="15" s="1"/>
  <c r="G31" i="15"/>
  <c r="H30" i="15" s="1"/>
  <c r="G45" i="2"/>
  <c r="G44" i="2"/>
  <c r="F34" i="15" l="1"/>
  <c r="G33" i="15"/>
  <c r="G32" i="15"/>
  <c r="E26" i="15"/>
  <c r="G26" i="15" s="1"/>
  <c r="G34" i="15" l="1"/>
  <c r="H34" i="15" s="1"/>
  <c r="F35" i="15"/>
  <c r="D106" i="7"/>
  <c r="F36" i="15" l="1"/>
  <c r="G35" i="15"/>
  <c r="H35" i="15" s="1"/>
  <c r="G36" i="15" l="1"/>
  <c r="H36" i="15" s="1"/>
  <c r="F37" i="15"/>
  <c r="E25" i="15"/>
  <c r="G25" i="15" s="1"/>
  <c r="F38" i="15" l="1"/>
  <c r="G37" i="15"/>
  <c r="H37" i="15" s="1"/>
  <c r="I9" i="15"/>
  <c r="I10" i="15"/>
  <c r="I11" i="15"/>
  <c r="I8" i="15"/>
  <c r="F21" i="15"/>
  <c r="F39" i="15" l="1"/>
  <c r="G38" i="15"/>
  <c r="H38" i="15" s="1"/>
  <c r="E24" i="15"/>
  <c r="G39" i="15" l="1"/>
  <c r="H39" i="15" s="1"/>
  <c r="F40" i="15"/>
  <c r="F22" i="15"/>
  <c r="E23" i="15"/>
  <c r="E18" i="15"/>
  <c r="G40" i="15" l="1"/>
  <c r="H40" i="15" s="1"/>
  <c r="F41" i="15"/>
  <c r="G41" i="15" s="1"/>
  <c r="F23" i="15"/>
  <c r="F24" i="15" s="1"/>
  <c r="G24" i="15" s="1"/>
  <c r="G23" i="15" l="1"/>
  <c r="E22" i="15"/>
  <c r="G22" i="15" l="1"/>
  <c r="K21" i="7" l="1"/>
  <c r="K20" i="7"/>
  <c r="K19" i="7"/>
  <c r="K18" i="7"/>
  <c r="K17" i="7"/>
  <c r="K16" i="7"/>
  <c r="H19" i="7"/>
  <c r="H20" i="7" s="1"/>
  <c r="G21" i="7" s="1"/>
  <c r="G19" i="7"/>
  <c r="G20" i="7"/>
  <c r="H18" i="7"/>
  <c r="K22" i="7" l="1"/>
  <c r="G22" i="7"/>
  <c r="E21" i="15" l="1"/>
  <c r="G21" i="15" s="1"/>
  <c r="E20" i="15" l="1"/>
  <c r="G20" i="15" s="1"/>
  <c r="Q11" i="14" l="1"/>
  <c r="V11" i="14" s="1"/>
  <c r="Q32" i="14" l="1"/>
  <c r="G18" i="15" l="1"/>
  <c r="E19" i="15"/>
  <c r="G19" i="15" s="1"/>
  <c r="H46" i="2" l="1"/>
  <c r="H45" i="2"/>
  <c r="H44" i="2"/>
  <c r="D42" i="2"/>
  <c r="F41" i="2"/>
  <c r="F43" i="2"/>
  <c r="A41" i="2"/>
  <c r="A42" i="2" s="1"/>
  <c r="A43" i="2" s="1"/>
  <c r="A44" i="2" s="1"/>
  <c r="A45" i="2" s="1"/>
  <c r="A46" i="2" s="1"/>
  <c r="F47" i="2" l="1"/>
  <c r="H47" i="2"/>
  <c r="U7" i="14" l="1"/>
  <c r="F8" i="15"/>
  <c r="F9" i="15"/>
  <c r="D10" i="15" l="1"/>
  <c r="F10" i="15" s="1"/>
  <c r="D11" i="15"/>
  <c r="F11" i="15" s="1"/>
  <c r="Q24" i="14" l="1"/>
  <c r="U8" i="14"/>
  <c r="W8" i="14" l="1"/>
  <c r="F8" i="14" s="1"/>
  <c r="V8" i="14"/>
  <c r="W24" i="14"/>
  <c r="F24" i="14" s="1"/>
  <c r="V24" i="14"/>
  <c r="Q19" i="14"/>
  <c r="Q12" i="14"/>
  <c r="Q4" i="14"/>
  <c r="Q3" i="14"/>
  <c r="Q2" i="14"/>
  <c r="Q25" i="14"/>
  <c r="Q27" i="14"/>
  <c r="Q26" i="14"/>
  <c r="Q30" i="14"/>
  <c r="V30" i="14" s="1"/>
  <c r="Q23" i="14"/>
  <c r="Q29" i="14"/>
  <c r="Q28" i="14"/>
  <c r="Q9" i="14"/>
  <c r="W9" i="14" s="1"/>
  <c r="F9" i="14" s="1"/>
  <c r="Q6" i="14"/>
  <c r="Q7" i="14"/>
  <c r="Q20" i="14"/>
  <c r="V20" i="14" s="1"/>
  <c r="V6" i="14" l="1"/>
  <c r="W6" i="14"/>
  <c r="F6" i="14" s="1"/>
  <c r="V7" i="14"/>
  <c r="W7" i="14"/>
  <c r="F7" i="14" s="1"/>
  <c r="V29" i="14"/>
  <c r="W25" i="14"/>
  <c r="F25" i="14" s="1"/>
  <c r="V25" i="14"/>
  <c r="W3" i="14"/>
  <c r="F3" i="14" s="1"/>
  <c r="V3" i="14"/>
  <c r="W23" i="14"/>
  <c r="F23" i="14" s="1"/>
  <c r="V23" i="14"/>
  <c r="W19" i="14"/>
  <c r="F19" i="14" s="1"/>
  <c r="V19" i="14"/>
  <c r="W2" i="14"/>
  <c r="F2" i="14" s="1"/>
  <c r="V2" i="14"/>
  <c r="W4" i="14"/>
  <c r="F4" i="14" s="1"/>
  <c r="V4" i="14"/>
  <c r="W12" i="14"/>
  <c r="F12" i="14" s="1"/>
  <c r="V12" i="14"/>
  <c r="W26" i="14"/>
  <c r="F26" i="14" s="1"/>
  <c r="V26" i="14"/>
  <c r="W27" i="14"/>
  <c r="F27" i="14" s="1"/>
  <c r="V27" i="14"/>
  <c r="E18" i="8" l="1"/>
  <c r="B17" i="7" l="1"/>
  <c r="B4" i="7"/>
  <c r="H75" i="7" l="1"/>
  <c r="I75" i="7" s="1"/>
  <c r="N23" i="7" l="1"/>
  <c r="N15" i="7"/>
  <c r="N17" i="7" l="1"/>
  <c r="N19" i="7" s="1"/>
  <c r="L85" i="7"/>
  <c r="M72" i="7"/>
  <c r="M63" i="7"/>
  <c r="M68" i="7" s="1"/>
  <c r="M76" i="7" s="1"/>
  <c r="M60" i="7"/>
  <c r="N22" i="7" l="1"/>
  <c r="N21" i="7"/>
  <c r="B14" i="8"/>
  <c r="B15" i="8" s="1"/>
  <c r="B16" i="8" s="1"/>
  <c r="B17" i="8" s="1"/>
  <c r="B18" i="8" s="1"/>
  <c r="B19" i="8" s="1"/>
  <c r="B20" i="8" s="1"/>
  <c r="B21" i="8" s="1"/>
  <c r="B22" i="8" s="1"/>
  <c r="B23" i="8" s="1"/>
  <c r="B24" i="8" s="1"/>
  <c r="B25" i="8" s="1"/>
  <c r="B26" i="8" s="1"/>
  <c r="B27" i="8" s="1"/>
  <c r="B28" i="8" s="1"/>
  <c r="B29" i="8" s="1"/>
  <c r="J43" i="7" l="1"/>
  <c r="J42" i="7"/>
  <c r="H63" i="7"/>
  <c r="H66" i="7" s="1"/>
  <c r="H69" i="7" s="1"/>
  <c r="H58" i="7"/>
  <c r="J58" i="7" s="1"/>
  <c r="H44" i="7"/>
  <c r="H48" i="7" s="1"/>
  <c r="G63" i="7"/>
  <c r="G66" i="7" s="1"/>
  <c r="G58" i="7"/>
  <c r="G44" i="7"/>
  <c r="G48" i="7" s="1"/>
  <c r="H60" i="7" l="1"/>
  <c r="H72" i="7"/>
  <c r="H74" i="7" s="1"/>
  <c r="G69" i="7"/>
  <c r="J44" i="7"/>
  <c r="J48" i="7" s="1"/>
  <c r="J60" i="7" s="1"/>
  <c r="G24" i="7" s="1"/>
  <c r="G60" i="7"/>
  <c r="E19" i="8"/>
  <c r="E30" i="8" s="1"/>
  <c r="H6" i="8" l="1"/>
  <c r="M14" i="8"/>
  <c r="B67" i="7" l="1"/>
  <c r="B47" i="7"/>
  <c r="B35" i="7"/>
  <c r="B36" i="7" s="1"/>
  <c r="G6" i="7" s="1"/>
  <c r="C33" i="7"/>
  <c r="F32" i="7"/>
  <c r="C29" i="7"/>
  <c r="B18" i="7"/>
  <c r="B19" i="7" s="1"/>
  <c r="D19" i="7" s="1"/>
  <c r="B6" i="7"/>
  <c r="D4" i="7"/>
  <c r="C4" i="7"/>
  <c r="B5" i="7" s="1"/>
  <c r="B11" i="7" s="1"/>
  <c r="B58" i="7" l="1"/>
  <c r="G5" i="7" s="1"/>
  <c r="B48" i="7"/>
  <c r="D6" i="7"/>
  <c r="B12" i="7" s="1"/>
  <c r="B14" i="7" s="1"/>
  <c r="D14" i="7" s="1"/>
  <c r="B10" i="7"/>
  <c r="D21" i="7" l="1"/>
  <c r="G4" i="7"/>
  <c r="G7" i="7" s="1"/>
  <c r="H25" i="7" s="1"/>
  <c r="H26" i="7" s="1"/>
  <c r="H27" i="7" s="1"/>
  <c r="G28" i="7" s="1"/>
  <c r="G29" i="7" s="1"/>
  <c r="K112" i="2" l="1"/>
  <c r="N97" i="2"/>
  <c r="N98" i="2" s="1"/>
  <c r="N99" i="2" s="1"/>
  <c r="N100" i="2" s="1"/>
  <c r="N101" i="2" s="1"/>
  <c r="N102" i="2" s="1"/>
  <c r="N103" i="2" s="1"/>
  <c r="N104" i="2" s="1"/>
  <c r="N105" i="2" s="1"/>
  <c r="N106" i="2" s="1"/>
  <c r="N107" i="2" s="1"/>
  <c r="N108" i="2" s="1"/>
  <c r="N109" i="2" s="1"/>
  <c r="N110" i="2" s="1"/>
  <c r="J97" i="2"/>
  <c r="J98" i="2" s="1"/>
  <c r="J99" i="2" s="1"/>
  <c r="J100" i="2" s="1"/>
  <c r="J101" i="2" s="1"/>
  <c r="J102" i="2" s="1"/>
  <c r="J103" i="2" s="1"/>
  <c r="J104" i="2" s="1"/>
  <c r="J105" i="2" s="1"/>
  <c r="J106" i="2" s="1"/>
  <c r="J107" i="2" s="1"/>
  <c r="J108" i="2" s="1"/>
  <c r="J109" i="2" s="1"/>
  <c r="J110" i="2" s="1"/>
  <c r="E97" i="2"/>
  <c r="E98" i="2" s="1"/>
  <c r="E99" i="2" s="1"/>
  <c r="E100" i="2" s="1"/>
  <c r="E101" i="2" s="1"/>
  <c r="E102" i="2" s="1"/>
  <c r="E103" i="2" s="1"/>
  <c r="E104" i="2" s="1"/>
  <c r="E105" i="2" s="1"/>
  <c r="E106" i="2" s="1"/>
  <c r="E107" i="2" s="1"/>
  <c r="E108" i="2" s="1"/>
  <c r="E109" i="2" s="1"/>
  <c r="E110" i="2" s="1"/>
  <c r="B97" i="2"/>
  <c r="B98" i="2" s="1"/>
  <c r="B99" i="2" s="1"/>
  <c r="B100" i="2" s="1"/>
  <c r="A97" i="2"/>
  <c r="A98" i="2" s="1"/>
  <c r="A99" i="2" s="1"/>
  <c r="A100" i="2" s="1"/>
  <c r="A101" i="2" s="1"/>
  <c r="A102" i="2" s="1"/>
  <c r="A103" i="2" s="1"/>
  <c r="A104" i="2" s="1"/>
  <c r="A105" i="2" s="1"/>
  <c r="A106" i="2" s="1"/>
  <c r="A107" i="2" s="1"/>
  <c r="A108" i="2" s="1"/>
  <c r="A109" i="2" s="1"/>
  <c r="A110" i="2" s="1"/>
  <c r="M96" i="2"/>
  <c r="O96" i="2" s="1"/>
  <c r="D96" i="2"/>
  <c r="F96" i="2" s="1"/>
  <c r="F56" i="2"/>
  <c r="F60" i="2" s="1"/>
  <c r="F63" i="2" s="1"/>
  <c r="F64" i="2" s="1"/>
  <c r="F65" i="2" s="1"/>
  <c r="F66" i="2" s="1"/>
  <c r="F67" i="2" s="1"/>
  <c r="F68" i="2" s="1"/>
  <c r="F69" i="2" s="1"/>
  <c r="A56" i="2"/>
  <c r="A57" i="2" s="1"/>
  <c r="A58" i="2" s="1"/>
  <c r="A59" i="2" s="1"/>
  <c r="A60" i="2" s="1"/>
  <c r="A61" i="2" s="1"/>
  <c r="A62" i="2" s="1"/>
  <c r="A63" i="2" s="1"/>
  <c r="A64" i="2" s="1"/>
  <c r="A65" i="2" s="1"/>
  <c r="A66" i="2" s="1"/>
  <c r="A67" i="2" s="1"/>
  <c r="A68" i="2" s="1"/>
  <c r="A69" i="2" s="1"/>
  <c r="E55" i="2"/>
  <c r="H55" i="2" s="1"/>
  <c r="D56" i="2" s="1"/>
  <c r="E56" i="2" s="1"/>
  <c r="G96" i="2" l="1"/>
  <c r="C97" i="2" s="1"/>
  <c r="D97" i="2" s="1"/>
  <c r="F97" i="2" s="1"/>
  <c r="G97" i="2" s="1"/>
  <c r="C98" i="2" s="1"/>
  <c r="D98" i="2" s="1"/>
  <c r="B101" i="2"/>
  <c r="G56" i="2"/>
  <c r="H56" i="2" s="1"/>
  <c r="D57" i="2" s="1"/>
  <c r="P96" i="2"/>
  <c r="L97" i="2" s="1"/>
  <c r="M97" i="2" s="1"/>
  <c r="E57" i="2" l="1"/>
  <c r="G57" i="2" s="1"/>
  <c r="H57" i="2" s="1"/>
  <c r="D58" i="2" s="1"/>
  <c r="E58" i="2" s="1"/>
  <c r="F98" i="2"/>
  <c r="G98" i="2" s="1"/>
  <c r="C99" i="2" s="1"/>
  <c r="D99" i="2" s="1"/>
  <c r="O97" i="2"/>
  <c r="B102" i="2"/>
  <c r="F99" i="2" l="1"/>
  <c r="G58" i="2"/>
  <c r="P97" i="2"/>
  <c r="L98" i="2" s="1"/>
  <c r="M98" i="2" s="1"/>
  <c r="B103" i="2"/>
  <c r="H58" i="2" l="1"/>
  <c r="D59" i="2" s="1"/>
  <c r="E59" i="2" s="1"/>
  <c r="O98" i="2"/>
  <c r="P98" i="2" s="1"/>
  <c r="L99" i="2" s="1"/>
  <c r="M99" i="2" s="1"/>
  <c r="B104" i="2"/>
  <c r="G99" i="2"/>
  <c r="C100" i="2" s="1"/>
  <c r="D100" i="2" s="1"/>
  <c r="G59" i="2" l="1"/>
  <c r="H59" i="2" s="1"/>
  <c r="D60" i="2" s="1"/>
  <c r="E60" i="2" s="1"/>
  <c r="G60" i="2" s="1"/>
  <c r="H60" i="2" s="1"/>
  <c r="D61" i="2" s="1"/>
  <c r="E61" i="2" s="1"/>
  <c r="B105" i="2"/>
  <c r="F100" i="2"/>
  <c r="G100" i="2" s="1"/>
  <c r="C101" i="2" s="1"/>
  <c r="D101" i="2" s="1"/>
  <c r="O99" i="2"/>
  <c r="P99" i="2" s="1"/>
  <c r="L100" i="2" s="1"/>
  <c r="M100" i="2" s="1"/>
  <c r="O100" i="2" l="1"/>
  <c r="P100" i="2" s="1"/>
  <c r="L101" i="2" s="1"/>
  <c r="M101" i="2" s="1"/>
  <c r="F101" i="2"/>
  <c r="G101" i="2" s="1"/>
  <c r="C102" i="2" s="1"/>
  <c r="D102" i="2" s="1"/>
  <c r="G61" i="2"/>
  <c r="H61" i="2" s="1"/>
  <c r="D62" i="2" s="1"/>
  <c r="E62" i="2" s="1"/>
  <c r="B106" i="2"/>
  <c r="O101" i="2" l="1"/>
  <c r="P101" i="2" s="1"/>
  <c r="L102" i="2" s="1"/>
  <c r="M102" i="2" s="1"/>
  <c r="G62" i="2"/>
  <c r="H62" i="2" s="1"/>
  <c r="D63" i="2" s="1"/>
  <c r="E63" i="2" s="1"/>
  <c r="F102" i="2"/>
  <c r="G102" i="2" s="1"/>
  <c r="C103" i="2" s="1"/>
  <c r="D103" i="2" s="1"/>
  <c r="B107" i="2"/>
  <c r="O102" i="2" l="1"/>
  <c r="P102" i="2" s="1"/>
  <c r="L103" i="2" s="1"/>
  <c r="M103" i="2" s="1"/>
  <c r="G63" i="2"/>
  <c r="H63" i="2" s="1"/>
  <c r="D64" i="2" s="1"/>
  <c r="E64" i="2" s="1"/>
  <c r="B108" i="2"/>
  <c r="F103" i="2"/>
  <c r="G103" i="2" s="1"/>
  <c r="C104" i="2" s="1"/>
  <c r="D104" i="2" s="1"/>
  <c r="O103" i="2" l="1"/>
  <c r="P103" i="2" s="1"/>
  <c r="L104" i="2" s="1"/>
  <c r="M104" i="2" s="1"/>
  <c r="F104" i="2"/>
  <c r="G104" i="2" s="1"/>
  <c r="C105" i="2" s="1"/>
  <c r="D105" i="2" s="1"/>
  <c r="G64" i="2"/>
  <c r="H64" i="2" s="1"/>
  <c r="D65" i="2" s="1"/>
  <c r="E65" i="2" s="1"/>
  <c r="B109" i="2"/>
  <c r="F105" i="2" l="1"/>
  <c r="G105" i="2" s="1"/>
  <c r="C106" i="2" s="1"/>
  <c r="D106" i="2" s="1"/>
  <c r="G65" i="2"/>
  <c r="H65" i="2" s="1"/>
  <c r="D66" i="2" s="1"/>
  <c r="E66" i="2" s="1"/>
  <c r="B110" i="2"/>
  <c r="O104" i="2"/>
  <c r="P104" i="2" s="1"/>
  <c r="L105" i="2" s="1"/>
  <c r="M105" i="2" s="1"/>
  <c r="F106" i="2" l="1"/>
  <c r="G106" i="2" s="1"/>
  <c r="C107" i="2" s="1"/>
  <c r="D107" i="2" s="1"/>
  <c r="O105" i="2"/>
  <c r="P105" i="2" s="1"/>
  <c r="L106" i="2" s="1"/>
  <c r="M106" i="2" s="1"/>
  <c r="B112" i="2"/>
  <c r="C113" i="2" s="1"/>
  <c r="G66" i="2"/>
  <c r="H66" i="2" s="1"/>
  <c r="D67" i="2" s="1"/>
  <c r="E67" i="2" s="1"/>
  <c r="O106" i="2" l="1"/>
  <c r="P106" i="2" s="1"/>
  <c r="L107" i="2" s="1"/>
  <c r="M107" i="2" s="1"/>
  <c r="F107" i="2"/>
  <c r="G107" i="2" s="1"/>
  <c r="C108" i="2" s="1"/>
  <c r="D108" i="2" s="1"/>
  <c r="G67" i="2"/>
  <c r="H67" i="2" s="1"/>
  <c r="D68" i="2" s="1"/>
  <c r="E68" i="2" s="1"/>
  <c r="O107" i="2" l="1"/>
  <c r="P107" i="2" s="1"/>
  <c r="L108" i="2" s="1"/>
  <c r="M108" i="2" s="1"/>
  <c r="F108" i="2"/>
  <c r="G108" i="2" s="1"/>
  <c r="C109" i="2" s="1"/>
  <c r="D109" i="2" s="1"/>
  <c r="G68" i="2"/>
  <c r="H68" i="2" s="1"/>
  <c r="D69" i="2" s="1"/>
  <c r="E69" i="2" s="1"/>
  <c r="G69" i="2" l="1"/>
  <c r="F109" i="2"/>
  <c r="G109" i="2" s="1"/>
  <c r="C110" i="2" s="1"/>
  <c r="D110" i="2" s="1"/>
  <c r="O108" i="2"/>
  <c r="P108" i="2" s="1"/>
  <c r="L109" i="2" s="1"/>
  <c r="M109" i="2" s="1"/>
  <c r="H69" i="2" l="1"/>
  <c r="C74" i="2" s="1"/>
  <c r="O109" i="2"/>
  <c r="P109" i="2" s="1"/>
  <c r="L110" i="2" s="1"/>
  <c r="M110" i="2" s="1"/>
  <c r="F110" i="2"/>
  <c r="F111" i="2" s="1"/>
  <c r="D74" i="2" l="1"/>
  <c r="G110" i="2"/>
  <c r="B113" i="2" s="1"/>
  <c r="B114" i="2" s="1"/>
  <c r="O110" i="2"/>
  <c r="O111" i="2" s="1"/>
  <c r="B115" i="2"/>
  <c r="P110" i="2" l="1"/>
  <c r="K113" i="2" s="1"/>
  <c r="K114" i="2" l="1"/>
  <c r="B116" i="2"/>
  <c r="P43" i="17" l="1"/>
  <c r="P45" i="17" s="1"/>
</calcChain>
</file>

<file path=xl/sharedStrings.xml><?xml version="1.0" encoding="utf-8"?>
<sst xmlns="http://schemas.openxmlformats.org/spreadsheetml/2006/main" count="3481" uniqueCount="2292">
  <si>
    <t>HDFC TAX SAVER GROWTH</t>
  </si>
  <si>
    <t>Folio</t>
  </si>
  <si>
    <t>Units</t>
  </si>
  <si>
    <t>HDFC PRUDENCE</t>
  </si>
  <si>
    <t>7888484/26</t>
  </si>
  <si>
    <t>ICICI PRU TAX PLAN REGULAR GROWTH</t>
  </si>
  <si>
    <t>5818594/47</t>
  </si>
  <si>
    <t>Tenure</t>
  </si>
  <si>
    <t>RELIANCE SMALL CAP FUND - GROWTH PLAN GROWTH OPTION</t>
  </si>
  <si>
    <t>ICICI Prudential Value Discovery Fund - Regular Plan - Growth</t>
  </si>
  <si>
    <t>7288902/04</t>
  </si>
  <si>
    <t>Franklin India Smaller Companies Fund-GROWTH</t>
  </si>
  <si>
    <t>email</t>
  </si>
  <si>
    <t>Axis Long Term Equity Fund(G)</t>
  </si>
  <si>
    <t>ELSS</t>
  </si>
  <si>
    <t>Birla SL Tax Relief 96 Fund</t>
  </si>
  <si>
    <t>Tata India Tax Saver Reg Growth</t>
  </si>
  <si>
    <t>3558205/41</t>
  </si>
  <si>
    <t>2800092/21</t>
  </si>
  <si>
    <t>Year</t>
  </si>
  <si>
    <t>Total</t>
  </si>
  <si>
    <t>PF</t>
  </si>
  <si>
    <t>2015-16</t>
  </si>
  <si>
    <t>2016-17</t>
  </si>
  <si>
    <t>PPF</t>
  </si>
  <si>
    <t>SrNo</t>
  </si>
  <si>
    <t>Amt/year</t>
  </si>
  <si>
    <t>amt from last year</t>
  </si>
  <si>
    <t>total investment amt</t>
  </si>
  <si>
    <t>rate%</t>
  </si>
  <si>
    <t>interest amt this year</t>
  </si>
  <si>
    <t>total amt for next tear</t>
  </si>
  <si>
    <t>2013-14</t>
  </si>
  <si>
    <t>2014-15</t>
  </si>
  <si>
    <t>Investment</t>
  </si>
  <si>
    <t>Return</t>
  </si>
  <si>
    <t>amt/year</t>
  </si>
  <si>
    <t>input amt</t>
  </si>
  <si>
    <t>final amt</t>
  </si>
  <si>
    <t>(tax saved)</t>
  </si>
  <si>
    <t>%increase</t>
  </si>
  <si>
    <t>%inc/year</t>
  </si>
  <si>
    <t>4th May 2015</t>
  </si>
  <si>
    <t>EMI</t>
  </si>
  <si>
    <t>Date</t>
  </si>
  <si>
    <t>Balance</t>
  </si>
  <si>
    <t>2017-18</t>
  </si>
  <si>
    <t>FY2016-17</t>
  </si>
  <si>
    <t>FY2017-18</t>
  </si>
  <si>
    <t>PRAN</t>
  </si>
  <si>
    <t>110097569023</t>
  </si>
  <si>
    <t>From</t>
  </si>
  <si>
    <t>HDFC</t>
  </si>
  <si>
    <t>Current Value</t>
  </si>
  <si>
    <t>Mahindra Mutual Fund Kar Bachat Yojana - Direct Plan (G)</t>
  </si>
  <si>
    <t>IDFC Tax Advantage (ELSS) Fund-Growth-(Direct Plan)</t>
  </si>
  <si>
    <t>2090796/20</t>
  </si>
  <si>
    <t>Month</t>
  </si>
  <si>
    <t>Large Cap</t>
  </si>
  <si>
    <t>Small Cap</t>
  </si>
  <si>
    <t>Mid Cap</t>
  </si>
  <si>
    <t>BOI AXA Tax Advantage</t>
  </si>
  <si>
    <t>2018-19</t>
  </si>
  <si>
    <t>EPAM</t>
  </si>
  <si>
    <t>HRA Calc</t>
  </si>
  <si>
    <t>Enter yellow fields Only</t>
  </si>
  <si>
    <t>Taxable Income Calculation</t>
  </si>
  <si>
    <t>FY 2018-19</t>
  </si>
  <si>
    <t>Rent</t>
  </si>
  <si>
    <t>50 or 40%basic</t>
  </si>
  <si>
    <t>10%basic</t>
  </si>
  <si>
    <t>CTC</t>
  </si>
  <si>
    <t>FY 15-16</t>
  </si>
  <si>
    <t>Basic (yearly)</t>
  </si>
  <si>
    <t>HRA Exemption</t>
  </si>
  <si>
    <t>FY 16-17</t>
  </si>
  <si>
    <t>HRA</t>
  </si>
  <si>
    <t>Chapter VI A</t>
  </si>
  <si>
    <t>FY 17-18</t>
  </si>
  <si>
    <t>rent-10%basic</t>
  </si>
  <si>
    <t>FBP</t>
  </si>
  <si>
    <t>FY 18-19</t>
  </si>
  <si>
    <t>Rent/month</t>
  </si>
  <si>
    <t>Taxable Income</t>
  </si>
  <si>
    <t>Rule (lowest)</t>
  </si>
  <si>
    <t>50%Basic</t>
  </si>
  <si>
    <t>Tax slab</t>
  </si>
  <si>
    <t>0 to 2.5lac</t>
  </si>
  <si>
    <t>Rent-10%Basic</t>
  </si>
  <si>
    <t>2.5 lac to 5 lac</t>
  </si>
  <si>
    <t>5 lac to 10 lac</t>
  </si>
  <si>
    <t>Exempt</t>
  </si>
  <si>
    <t>My tax saved</t>
  </si>
  <si>
    <t>Above 10 lac</t>
  </si>
  <si>
    <t>Tax calculation</t>
  </si>
  <si>
    <t>Mom yearly income</t>
  </si>
  <si>
    <t>Taxable income(less than 10lac)</t>
  </si>
  <si>
    <t>balance taxable income</t>
  </si>
  <si>
    <t>10% slab amount</t>
  </si>
  <si>
    <t>Slab 1 till 2.5lac</t>
  </si>
  <si>
    <t>Tax as per 10%</t>
  </si>
  <si>
    <t>Mom tax</t>
  </si>
  <si>
    <t>Slab 2, 2.5 to 5lac</t>
  </si>
  <si>
    <t>Slab 3, 5 to 10lac</t>
  </si>
  <si>
    <t>Net Tax Saved</t>
  </si>
  <si>
    <t>Total Tax Payable(appx)</t>
  </si>
  <si>
    <t>Taxable income(above 10lac)</t>
  </si>
  <si>
    <t>FBP Part</t>
  </si>
  <si>
    <t>Bills</t>
  </si>
  <si>
    <t>limit/year</t>
  </si>
  <si>
    <t>month in epam</t>
  </si>
  <si>
    <t>Note</t>
  </si>
  <si>
    <t>#Generals</t>
  </si>
  <si>
    <t>Slab 4, above 10lac</t>
  </si>
  <si>
    <t>LTA</t>
  </si>
  <si>
    <t>need bills, apply asap</t>
  </si>
  <si>
    <t>Fuel Car Maintenance 2400/month</t>
  </si>
  <si>
    <t>Professional Development (book, courses etc) 1000/month</t>
  </si>
  <si>
    <t>need bills</t>
  </si>
  <si>
    <t>Telephone</t>
  </si>
  <si>
    <t>Business Attire (formal suite,shirt&amp;pants. Not shoes,tshirt) 1000/month</t>
  </si>
  <si>
    <t>Driver Salary</t>
  </si>
  <si>
    <t>Children Education</t>
  </si>
  <si>
    <t>declaration, 100: Normal Sch and 400: Boarding School</t>
  </si>
  <si>
    <t>Food</t>
  </si>
  <si>
    <t>no bill required</t>
  </si>
  <si>
    <t>https://pdf2jpg.net</t>
  </si>
  <si>
    <t>Max FBP</t>
  </si>
  <si>
    <t xml:space="preserve">Qtr stmt can be given + for last qtr declaration need to give </t>
  </si>
  <si>
    <t>DEDUCTIONS VIA</t>
  </si>
  <si>
    <t>80C - 1.5lac</t>
  </si>
  <si>
    <t>PPF[1.5lac limit]</t>
  </si>
  <si>
    <t>ICICI ins</t>
  </si>
  <si>
    <t>NPS for 2 Lac</t>
  </si>
  <si>
    <t>80D : Medical Insurance</t>
  </si>
  <si>
    <t>Parent</t>
  </si>
  <si>
    <t>Self</t>
  </si>
  <si>
    <t>Other VI A Sections like Edu loan</t>
  </si>
  <si>
    <t>Total Exeption under VI A</t>
  </si>
  <si>
    <t>NOTE:</t>
  </si>
  <si>
    <t>Tax declaration can be done every month before 20th day (till Dec)</t>
  </si>
  <si>
    <t>s</t>
  </si>
  <si>
    <t>For LTA if you want the annual amount to be Rs.60,000/-, please divide 60,000/- by balance no. of months in this FY and put the monthly figure</t>
  </si>
  <si>
    <r>
      <t>FBP will be open every first month of the quarter (Apr, Jul, Oct &amp; Jan) from 1</t>
    </r>
    <r>
      <rPr>
        <vertAlign val="superscript"/>
        <sz val="7.5"/>
        <color rgb="FF1F497D"/>
        <rFont val="Times New Roman"/>
        <family val="1"/>
      </rPr>
      <t>st</t>
    </r>
    <r>
      <rPr>
        <sz val="11"/>
        <color rgb="FF1F497D"/>
        <rFont val="Times New Roman"/>
        <family val="1"/>
      </rPr>
      <t> to 12</t>
    </r>
    <r>
      <rPr>
        <vertAlign val="superscript"/>
        <sz val="7.5"/>
        <color rgb="FF1F497D"/>
        <rFont val="Times New Roman"/>
        <family val="1"/>
      </rPr>
      <t>th</t>
    </r>
  </si>
  <si>
    <t xml:space="preserve">#RENT </t>
  </si>
  <si>
    <t>Rent receipt</t>
  </si>
  <si>
    <t>Desc</t>
  </si>
  <si>
    <t>Demand</t>
  </si>
  <si>
    <t>LIC Payments</t>
  </si>
  <si>
    <t>Personal Payments</t>
  </si>
  <si>
    <t>LIC Login</t>
  </si>
  <si>
    <t>Booking amount</t>
  </si>
  <si>
    <t>http://www.lichousing.com/</t>
  </si>
  <si>
    <t>On 60 Days of Booking</t>
  </si>
  <si>
    <t>Loan Accnt: 311000002828</t>
  </si>
  <si>
    <t>File No: 3110004196</t>
  </si>
  <si>
    <t>Customer id: 18957143</t>
  </si>
  <si>
    <t>Foundation</t>
  </si>
  <si>
    <t>1st Floor</t>
  </si>
  <si>
    <t>2nd Floor</t>
  </si>
  <si>
    <t>3rd Floor</t>
  </si>
  <si>
    <t>Completion</t>
  </si>
  <si>
    <t>Possession</t>
  </si>
  <si>
    <t>Flat cost appx(incl parking,edc)</t>
  </si>
  <si>
    <t>Total amount paid to PDM</t>
  </si>
  <si>
    <t>Flat cost w/o parking,edc etc</t>
  </si>
  <si>
    <t>LIC Loan</t>
  </si>
  <si>
    <t>LIC pending amount</t>
  </si>
  <si>
    <t>LIC Site Data(Mar 2018)</t>
  </si>
  <si>
    <t>principal o/s</t>
  </si>
  <si>
    <t>principal repaid</t>
  </si>
  <si>
    <t>interest repaid</t>
  </si>
  <si>
    <t>Oracle</t>
  </si>
  <si>
    <t>Xebia</t>
  </si>
  <si>
    <t>LIC Cheque Amt</t>
  </si>
  <si>
    <t>Downpayment</t>
  </si>
  <si>
    <t>Interest</t>
  </si>
  <si>
    <t>Lilla</t>
  </si>
  <si>
    <t>Bhabhi</t>
  </si>
  <si>
    <t xml:space="preserve">Bhai </t>
  </si>
  <si>
    <t>Broker</t>
  </si>
  <si>
    <t>SIP</t>
  </si>
  <si>
    <t>FY 2017-18</t>
  </si>
  <si>
    <t>Equity</t>
  </si>
  <si>
    <t>email/23J@</t>
  </si>
  <si>
    <t>SBI Blue Chip Fund - Direct Plan - Growth</t>
  </si>
  <si>
    <t>gross salaray</t>
  </si>
  <si>
    <t>xebia</t>
  </si>
  <si>
    <t>epam</t>
  </si>
  <si>
    <t>sec 10 allowance</t>
  </si>
  <si>
    <t>balance</t>
  </si>
  <si>
    <t>gross total income</t>
  </si>
  <si>
    <t>deduction (entertainment)</t>
  </si>
  <si>
    <t>chapter vi a</t>
  </si>
  <si>
    <t>80c</t>
  </si>
  <si>
    <t>80ccd</t>
  </si>
  <si>
    <t>80ccc</t>
  </si>
  <si>
    <t>80e</t>
  </si>
  <si>
    <t>1.5 lac limit</t>
  </si>
  <si>
    <t>total vi a</t>
  </si>
  <si>
    <t>total income</t>
  </si>
  <si>
    <t>tax</t>
  </si>
  <si>
    <t>cess 3% of tax</t>
  </si>
  <si>
    <t>relief 89/90</t>
  </si>
  <si>
    <t>total tax payable</t>
  </si>
  <si>
    <t>tax payable</t>
  </si>
  <si>
    <t>proof can be given</t>
  </si>
  <si>
    <t>leave encashed, hra, lta</t>
  </si>
  <si>
    <t>other income</t>
  </si>
  <si>
    <t>nps</t>
  </si>
  <si>
    <t>80d</t>
  </si>
  <si>
    <t>insurance</t>
  </si>
  <si>
    <t>TDS</t>
  </si>
  <si>
    <t>actual tax to be paid</t>
  </si>
  <si>
    <t>tax paid in fy 2017-18</t>
  </si>
  <si>
    <t>FY 2017-18 Calculation</t>
  </si>
  <si>
    <t>Payment Receipt</t>
  </si>
  <si>
    <t>Yes</t>
  </si>
  <si>
    <t>B1 i</t>
  </si>
  <si>
    <t>B4</t>
  </si>
  <si>
    <t>80C</t>
  </si>
  <si>
    <t>80CCD</t>
  </si>
  <si>
    <t>80D  (A)</t>
  </si>
  <si>
    <t>80DDB</t>
  </si>
  <si>
    <t>C 1</t>
  </si>
  <si>
    <t>Total Deduction</t>
  </si>
  <si>
    <t>Gross Total income</t>
  </si>
  <si>
    <t>Total Income</t>
  </si>
  <si>
    <t>C2</t>
  </si>
  <si>
    <t>Total Tax</t>
  </si>
  <si>
    <t>D1</t>
  </si>
  <si>
    <t>Cess</t>
  </si>
  <si>
    <t>D4</t>
  </si>
  <si>
    <t>234 B</t>
  </si>
  <si>
    <t>234 C</t>
  </si>
  <si>
    <t>Final Tax</t>
  </si>
  <si>
    <t>income tax site</t>
  </si>
  <si>
    <t>xebia tds</t>
  </si>
  <si>
    <t>income = 571334</t>
  </si>
  <si>
    <t>income = 1881544</t>
  </si>
  <si>
    <t>Total TDS</t>
  </si>
  <si>
    <t>Amount Payble</t>
  </si>
  <si>
    <t>Original</t>
  </si>
  <si>
    <t>Now</t>
  </si>
  <si>
    <t>Saved</t>
  </si>
  <si>
    <t>#CA Vishal</t>
  </si>
  <si>
    <t>Mom Tax Calculation</t>
  </si>
  <si>
    <t>Rent/Month</t>
  </si>
  <si>
    <t>Rental income</t>
  </si>
  <si>
    <t>SD 30%</t>
  </si>
  <si>
    <t>Net total income</t>
  </si>
  <si>
    <t>Slab</t>
  </si>
  <si>
    <t>upto 3 lac</t>
  </si>
  <si>
    <t>Nil</t>
  </si>
  <si>
    <t>3 to 5 lac</t>
  </si>
  <si>
    <t>5%</t>
  </si>
  <si>
    <t>as per slab</t>
  </si>
  <si>
    <t>cess</t>
  </si>
  <si>
    <t>challan tax paid self</t>
  </si>
  <si>
    <t>Total Tax Paid</t>
  </si>
  <si>
    <t>Tax saved by vishal CA</t>
  </si>
  <si>
    <t>#Rent History</t>
  </si>
  <si>
    <t>City</t>
  </si>
  <si>
    <t>Delhi</t>
  </si>
  <si>
    <t>Pune</t>
  </si>
  <si>
    <t>Canara Robeco Emerging Equities</t>
  </si>
  <si>
    <t>Done</t>
  </si>
  <si>
    <t>?</t>
  </si>
  <si>
    <t>401147299865</t>
  </si>
  <si>
    <t>Invesco India Growth Opportunities Fund</t>
  </si>
  <si>
    <t>HDFC Small Cap Fund</t>
  </si>
  <si>
    <t>Reliance Small Cap Fund</t>
  </si>
  <si>
    <t>Bhaiya</t>
  </si>
  <si>
    <t>Total Flat Costs</t>
  </si>
  <si>
    <t>Pending 8th Floor Amt</t>
  </si>
  <si>
    <t>Pending 10th Floor</t>
  </si>
  <si>
    <t xml:space="preserve">Pending Possession </t>
  </si>
  <si>
    <t>Total Amount Paid</t>
  </si>
  <si>
    <t>20th Oct 2018</t>
  </si>
  <si>
    <t>KR</t>
  </si>
  <si>
    <t>Paid</t>
  </si>
  <si>
    <t>1st July 2015 + 8th Apr 2018 + 20th Oct 2018</t>
  </si>
  <si>
    <t>Rs 66000</t>
  </si>
  <si>
    <t>Remarks</t>
  </si>
  <si>
    <t>Status</t>
  </si>
  <si>
    <t>7th Oct 2017</t>
  </si>
  <si>
    <t>24 Aug 2017 (+60K) given by bhaiyya to me for bike purchase etc</t>
  </si>
  <si>
    <t>26-27th Sept 2017 (-60K) returned to bhabhi axis acc</t>
  </si>
  <si>
    <t>16th Feb 2018</t>
  </si>
  <si>
    <t>Received Date</t>
  </si>
  <si>
    <t>Received Amount</t>
  </si>
  <si>
    <t>Me</t>
  </si>
  <si>
    <t xml:space="preserve">26th Sept 2017 </t>
  </si>
  <si>
    <t>24th Aug 2017</t>
  </si>
  <si>
    <t>T7 E2</t>
  </si>
  <si>
    <t>May/Nov 2018</t>
  </si>
  <si>
    <t>Rs 20000</t>
  </si>
  <si>
    <t>20K cheque deposited in hdfc</t>
  </si>
  <si>
    <t>FY2018-19</t>
  </si>
  <si>
    <t>LL Name</t>
  </si>
  <si>
    <t>Mom</t>
  </si>
  <si>
    <t>Insurance + Maintenance + Fuel bill req</t>
  </si>
  <si>
    <t>Delhi/Pune</t>
  </si>
  <si>
    <t>In Pune : July 2017</t>
  </si>
  <si>
    <t>crn:12639695016415107, trn:6442187914910, date:2018-12-17 15:17:07</t>
  </si>
  <si>
    <t>CA Vishal saved 40K tax</t>
  </si>
  <si>
    <t>SBI: 00000032963998197</t>
  </si>
  <si>
    <t>Notes</t>
  </si>
  <si>
    <t>Company</t>
  </si>
  <si>
    <t>Joining Time</t>
  </si>
  <si>
    <t>Name</t>
  </si>
  <si>
    <t>yes</t>
  </si>
  <si>
    <t>Linkedin</t>
  </si>
  <si>
    <t>na</t>
  </si>
  <si>
    <t>sheetal0123@gmail.com</t>
  </si>
  <si>
    <t>23j@</t>
  </si>
  <si>
    <t xml:space="preserve">https://github.com/sheetalrepo </t>
  </si>
  <si>
    <t xml:space="preserve">https://github.com/sheetal0123 </t>
  </si>
  <si>
    <t>https://github.com/sheetalsingh</t>
  </si>
  <si>
    <t xml:space="preserve">wordpress </t>
  </si>
  <si>
    <t>https://blogbysheetal.wordpress.com/</t>
  </si>
  <si>
    <t>money-control</t>
  </si>
  <si>
    <t>EPF</t>
  </si>
  <si>
    <t>moster</t>
  </si>
  <si>
    <t>naukri</t>
  </si>
  <si>
    <t>timesjob</t>
  </si>
  <si>
    <t>glassdoor</t>
  </si>
  <si>
    <t>FK seller</t>
  </si>
  <si>
    <t>flipkart affiliate       | seema, seema pan, seema icici a/c | sheetal0123@yahoo.com | 9958958901 | tracking id: sheetal011 | https://affiliate.flipkart.com/</t>
  </si>
  <si>
    <t xml:space="preserve">25_@.....   </t>
  </si>
  <si>
    <t xml:space="preserve"> 23j@</t>
  </si>
  <si>
    <t>Basic (monthly)</t>
  </si>
  <si>
    <t>215844 (bank?)</t>
  </si>
  <si>
    <t>215847(), 085843(), 581472()</t>
  </si>
  <si>
    <t>123521(Axis Njf)</t>
  </si>
  <si>
    <t>123531(Axis Njf)</t>
  </si>
  <si>
    <t>992043 (HDFC KG Marg Delhi)</t>
  </si>
  <si>
    <t>999674 (HDFC KG Marg Delhi)</t>
  </si>
  <si>
    <t>30431 (HDFC KG Marg Delhi)</t>
  </si>
  <si>
    <t>Cheque Dated</t>
  </si>
  <si>
    <t>Credit Note Amount Adjusted, Not paid</t>
  </si>
  <si>
    <t>008982 ()</t>
  </si>
  <si>
    <t>016226 ()</t>
  </si>
  <si>
    <t>041993 ()</t>
  </si>
  <si>
    <t>058525 ()</t>
  </si>
  <si>
    <t>24th May 2014</t>
  </si>
  <si>
    <t>New Agreement Date</t>
  </si>
  <si>
    <t>Original Agreement Date</t>
  </si>
  <si>
    <t>22nd Aug 2012</t>
  </si>
  <si>
    <t>lowest figure</t>
  </si>
  <si>
    <t>Other Income(FD)</t>
  </si>
  <si>
    <t xml:space="preserve">c sheetal0123 </t>
  </si>
  <si>
    <t>FY2019-20</t>
  </si>
  <si>
    <t>26a@</t>
  </si>
  <si>
    <t>sheetalsingh</t>
  </si>
  <si>
    <t>M@</t>
  </si>
  <si>
    <t>sheetal_singh@epam.com</t>
  </si>
  <si>
    <t>2019-20</t>
  </si>
  <si>
    <t>M@23</t>
  </si>
  <si>
    <t>M123</t>
  </si>
  <si>
    <t>Tax to be paid</t>
  </si>
  <si>
    <t>Refund</t>
  </si>
  <si>
    <t>eVerify Date</t>
  </si>
  <si>
    <t>8th Nov 2019</t>
  </si>
  <si>
    <t>waiting</t>
  </si>
  <si>
    <t>MOM</t>
  </si>
  <si>
    <t>ITR Filed</t>
  </si>
  <si>
    <t>18th July 2019</t>
  </si>
  <si>
    <t>KUKU</t>
  </si>
  <si>
    <t>M@123</t>
  </si>
  <si>
    <t>http://bcud.unipune.ac.in/CERTIFICATE/GeneralPages/Default.aspx</t>
  </si>
  <si>
    <t>sheetal0123 / M@123</t>
  </si>
  <si>
    <t>cmasharma147</t>
  </si>
  <si>
    <t>147CMASHARMA</t>
  </si>
  <si>
    <t>NPS</t>
  </si>
  <si>
    <t>Zerodha</t>
  </si>
  <si>
    <t>Money Lend</t>
  </si>
  <si>
    <t>Increment (Apr)</t>
  </si>
  <si>
    <t>New CTC (Apr)</t>
  </si>
  <si>
    <t>Apr 2018:  22.24</t>
  </si>
  <si>
    <t>Apr 2019:  24.02</t>
  </si>
  <si>
    <t>Type</t>
  </si>
  <si>
    <t>Mode</t>
  </si>
  <si>
    <t>Total Inv.</t>
  </si>
  <si>
    <t>Ini. NAV</t>
  </si>
  <si>
    <t>Curr NAV</t>
  </si>
  <si>
    <t>Starting Mnth</t>
  </si>
  <si>
    <t>Mature By</t>
  </si>
  <si>
    <t>Current Val</t>
  </si>
  <si>
    <t>SIP Amt</t>
  </si>
  <si>
    <t>Dated</t>
  </si>
  <si>
    <t>Login Details</t>
  </si>
  <si>
    <t>90121648633</t>
  </si>
  <si>
    <t>Fund</t>
  </si>
  <si>
    <t>Fund Name</t>
  </si>
  <si>
    <t>Active_NoSIP</t>
  </si>
  <si>
    <t>Lumsum</t>
  </si>
  <si>
    <t>Offline</t>
  </si>
  <si>
    <t>For</t>
  </si>
  <si>
    <t>Kids-P</t>
  </si>
  <si>
    <t>Kids-K</t>
  </si>
  <si>
    <t>Online</t>
  </si>
  <si>
    <t>SIP Count</t>
  </si>
  <si>
    <t>Redeemed</t>
  </si>
  <si>
    <t>i 665114570636</t>
  </si>
  <si>
    <t>PAN/OTP</t>
  </si>
  <si>
    <t>Gmail login</t>
  </si>
  <si>
    <t>4th Jan 2020</t>
  </si>
  <si>
    <t>sheetal0123/M@123/OTP</t>
  </si>
  <si>
    <t>Account No: 61069494-WB99</t>
  </si>
  <si>
    <t>SBI combined both these investment into one</t>
  </si>
  <si>
    <t>Reliance large Cap Fund - Regular</t>
  </si>
  <si>
    <t>Reliance large Cap Fund - Direct</t>
  </si>
  <si>
    <t>email/K@25</t>
  </si>
  <si>
    <t>sheetal_singh_23/ 23J</t>
  </si>
  <si>
    <t>not able to create login</t>
  </si>
  <si>
    <t>Available Margin</t>
  </si>
  <si>
    <t>Current Balance</t>
  </si>
  <si>
    <t>Invested Amount</t>
  </si>
  <si>
    <t>Investment (In Market)</t>
  </si>
  <si>
    <t>Profit/Loss</t>
  </si>
  <si>
    <t>White Rock Pvt Ltd</t>
  </si>
  <si>
    <t>Yearly Chart</t>
  </si>
  <si>
    <t>Monthy Chart</t>
  </si>
  <si>
    <t>FY 2019-20</t>
  </si>
  <si>
    <t>FY 19-20</t>
  </si>
  <si>
    <t>sheetal0123/Mobile-OTP</t>
  </si>
  <si>
    <t>folio not linked</t>
  </si>
  <si>
    <t>sheetal0123@yahoo.com</t>
  </si>
  <si>
    <t>sheetalonskype0123</t>
  </si>
  <si>
    <t>gmail</t>
  </si>
  <si>
    <t>8dsingh@gmail.com</t>
  </si>
  <si>
    <t>family</t>
  </si>
  <si>
    <t>igrandmom123@gmail.com</t>
  </si>
  <si>
    <t>https://www.facebook.com/sheetal0123singh</t>
  </si>
  <si>
    <t>FB</t>
  </si>
  <si>
    <t>beingyou10@gmail.com</t>
  </si>
  <si>
    <t>X…@123</t>
  </si>
  <si>
    <t>Youtube</t>
  </si>
  <si>
    <t>Youtube channel</t>
  </si>
  <si>
    <t xml:space="preserve">myschooldayzz@gmail.com </t>
  </si>
  <si>
    <t>git</t>
  </si>
  <si>
    <t>23j</t>
  </si>
  <si>
    <t>sheetalsingh@xebia.com</t>
  </si>
  <si>
    <t>sheetal01234</t>
  </si>
  <si>
    <t>sheetal231</t>
  </si>
  <si>
    <t>sheetal.abc / sheetal0123@gmail.com</t>
  </si>
  <si>
    <t>Twitter</t>
  </si>
  <si>
    <t>Pune university</t>
  </si>
  <si>
    <t>ssingh393</t>
  </si>
  <si>
    <t>https://certification.scrumalliance.org</t>
  </si>
  <si>
    <t>Git</t>
  </si>
  <si>
    <t>Docker</t>
  </si>
  <si>
    <t xml:space="preserve">Scrum </t>
  </si>
  <si>
    <t xml:space="preserve">sheetal0123  </t>
  </si>
  <si>
    <t>Udemy</t>
  </si>
  <si>
    <t>gmail login</t>
  </si>
  <si>
    <t>1st Jan 2020</t>
  </si>
  <si>
    <t>1st Jan 2019</t>
  </si>
  <si>
    <t>Q13</t>
  </si>
  <si>
    <t>seema0488</t>
  </si>
  <si>
    <t>K25</t>
  </si>
  <si>
    <t>later</t>
  </si>
  <si>
    <t>video has been under copyright restriction</t>
  </si>
  <si>
    <t>Keep it for kids only</t>
  </si>
  <si>
    <t>Youtube Channel Kids</t>
  </si>
  <si>
    <t>Youtube Channel Songs</t>
  </si>
  <si>
    <t>mob: mine…805 | alt email: 147…</t>
  </si>
  <si>
    <t>login with google account</t>
  </si>
  <si>
    <t>kaavya0123</t>
  </si>
  <si>
    <t>100349813474 - UAN</t>
  </si>
  <si>
    <t>todo</t>
  </si>
  <si>
    <t>HR/GGN/28425/050</t>
  </si>
  <si>
    <t>TBS</t>
  </si>
  <si>
    <t>SrNO</t>
  </si>
  <si>
    <t>PF Number</t>
  </si>
  <si>
    <t>HR/GGN/29078//412</t>
  </si>
  <si>
    <t>iTrust</t>
  </si>
  <si>
    <t>AP/HYD/29903//15717</t>
  </si>
  <si>
    <t>Kaarvy</t>
  </si>
  <si>
    <t>DL/CPM/42624/182</t>
  </si>
  <si>
    <t>LetsBuy</t>
  </si>
  <si>
    <t>KN/BG/BNG/23390/9943</t>
  </si>
  <si>
    <t>Symphony</t>
  </si>
  <si>
    <t>GN/GGN/0029067000/392</t>
  </si>
  <si>
    <t>AP/HYD/00349340000013162</t>
  </si>
  <si>
    <t>Emp Share (A)</t>
  </si>
  <si>
    <t>Empr Share (B)</t>
  </si>
  <si>
    <t>Pension (C)</t>
  </si>
  <si>
    <t>A+B Transferred to Symphony</t>
  </si>
  <si>
    <t>Pension pending</t>
  </si>
  <si>
    <t>A+B withdrawn</t>
  </si>
  <si>
    <t xml:space="preserve">Feb 2011 | Claim ID(10C)=GNGGN120100006063   &amp;&amp;  Claim ID(Form 19): GNGGN120100006062 </t>
  </si>
  <si>
    <t>Note 2</t>
  </si>
  <si>
    <t>Pension may be pending</t>
  </si>
  <si>
    <t>Claim ID APHYD111200021485</t>
  </si>
  <si>
    <t>All money withdrawn</t>
  </si>
  <si>
    <t>Money include TBS + LB</t>
  </si>
  <si>
    <t>Current Account</t>
  </si>
  <si>
    <t>23J</t>
  </si>
  <si>
    <t>Azure</t>
  </si>
  <si>
    <t>email/M@1234</t>
  </si>
  <si>
    <t>Mkt: 33K / Txn Date:  12/03/2020 11:05 AM</t>
  </si>
  <si>
    <t>Mkt 34K / 13 Mar</t>
  </si>
  <si>
    <t>Canara Robeco Bluechip Equity Fund</t>
  </si>
  <si>
    <t xml:space="preserve">Axis Bluechip Fund </t>
  </si>
  <si>
    <t>taken 130,440 from zerodha to hdfc</t>
  </si>
  <si>
    <t>Wiki</t>
  </si>
  <si>
    <t>Sheetal2301</t>
  </si>
  <si>
    <t>covid19</t>
  </si>
  <si>
    <t>Blocked , verification mail going on xebia account</t>
  </si>
  <si>
    <t>3J</t>
  </si>
  <si>
    <t>sheetal0123</t>
  </si>
  <si>
    <t>sheetalrepo</t>
  </si>
  <si>
    <t>Existing</t>
  </si>
  <si>
    <t>Slab 4, Above 10 lac</t>
  </si>
  <si>
    <t>New</t>
  </si>
  <si>
    <t>Gross Salary</t>
  </si>
  <si>
    <t>After various deduction</t>
  </si>
  <si>
    <t>Gross Salary appx</t>
  </si>
  <si>
    <t>Slab 3, 5 to 7.5lac</t>
  </si>
  <si>
    <t>Slab 4, 7.5 to 10lac</t>
  </si>
  <si>
    <t>Slab 5, 10 to 12.5lac</t>
  </si>
  <si>
    <t>Slab 5, 12.5 to 15lac</t>
  </si>
  <si>
    <t>Slab 6, 15 to 50lac</t>
  </si>
  <si>
    <t>Look like old system is better</t>
  </si>
  <si>
    <t>Current Balance In Account</t>
  </si>
  <si>
    <t>Money Taken To Bank</t>
  </si>
  <si>
    <t>Notes2</t>
  </si>
  <si>
    <t>Notes1</t>
  </si>
  <si>
    <t>Zerodha Seema</t>
  </si>
  <si>
    <t>TPIN: 381256</t>
  </si>
  <si>
    <t>Activated: 16th June 2020</t>
  </si>
  <si>
    <t>147CMASHARMA@GMAIL.COM</t>
  </si>
  <si>
    <t>B570679350</t>
  </si>
  <si>
    <t>BSES Rajdhani Delhi Electricity</t>
  </si>
  <si>
    <t>102579 (by zerodha to hdfc to zerodha)</t>
  </si>
  <si>
    <t>Options</t>
  </si>
  <si>
    <t>Console Report</t>
  </si>
  <si>
    <t>Total P/L</t>
  </si>
  <si>
    <t>till 8th July</t>
  </si>
  <si>
    <t>9560 (by zerodha to hdfc : withdrawn)</t>
  </si>
  <si>
    <t xml:space="preserve">rakshaknagargold3322 </t>
  </si>
  <si>
    <t>100349813474</t>
  </si>
  <si>
    <t>UAN</t>
  </si>
  <si>
    <t>As of 30 Jul 2020</t>
  </si>
  <si>
    <t>Emp Code</t>
  </si>
  <si>
    <t>00094</t>
  </si>
  <si>
    <t>31534</t>
  </si>
  <si>
    <t>2051</t>
  </si>
  <si>
    <t>DT185</t>
  </si>
  <si>
    <t>12072</t>
  </si>
  <si>
    <t>Lead Quality Engineer</t>
  </si>
  <si>
    <t>Title</t>
  </si>
  <si>
    <t>XI432</t>
  </si>
  <si>
    <t>Senior Consultant</t>
  </si>
  <si>
    <t>531534</t>
  </si>
  <si>
    <t>Lead Software Test Automation Engineer</t>
  </si>
  <si>
    <t>TOS/P/KN/2565      6110</t>
  </si>
  <si>
    <t>Orbis</t>
  </si>
  <si>
    <t>mailtokaavya@gmail.com</t>
  </si>
  <si>
    <t>mailtogarvit@gmail.com</t>
  </si>
  <si>
    <t>PRAN 110097569023</t>
  </si>
  <si>
    <t>Rule 21 'IPIN  96973624442 TPIN 4347673</t>
  </si>
  <si>
    <t>Activation Date: 10/June/2016</t>
  </si>
  <si>
    <t>12th</t>
  </si>
  <si>
    <t>Kendriya Vidyalaya No 3, 9 BRD, Air Force Station, Viman Nagar, Pune    411014</t>
  </si>
  <si>
    <t>Roll No: 4207378</t>
  </si>
  <si>
    <t>Cert Serial No: 048538</t>
  </si>
  <si>
    <t>2001-02</t>
  </si>
  <si>
    <t>10th</t>
  </si>
  <si>
    <t>Roll No: 4132744</t>
  </si>
  <si>
    <t>Cert Serial No: 033359</t>
  </si>
  <si>
    <t>1999 - 00</t>
  </si>
  <si>
    <t>SEAT NO: B2113453</t>
  </si>
  <si>
    <t>Permanent Registration No:  70223385E</t>
  </si>
  <si>
    <t>BE</t>
  </si>
  <si>
    <t>Pravara Rural College of Engineering, Loni, Taluka-Rahata, District: Ahmednagar, Maharashtra, India, Pincode : 413736 +91 2422 273700</t>
  </si>
  <si>
    <t>Std</t>
  </si>
  <si>
    <t>RollNo</t>
  </si>
  <si>
    <t>Other</t>
  </si>
  <si>
    <t>Institute</t>
  </si>
  <si>
    <t>HR</t>
  </si>
  <si>
    <t>Gaurav.Sharma5@harman.com</t>
  </si>
  <si>
    <t>Contact</t>
  </si>
  <si>
    <t>+911245046015</t>
  </si>
  <si>
    <t>Address</t>
  </si>
  <si>
    <t xml:space="preserve">Xebia IT Architect India Pvt Ltd </t>
  </si>
  <si>
    <t>hrindia@xebia.com</t>
  </si>
  <si>
    <t>vaibhav_kelkar@epam.com</t>
  </si>
  <si>
    <t>Epam Systems India Pvt Ltd</t>
  </si>
  <si>
    <t>Flat No B-2 / 101, Floor No 1, Rakshak Nagar Gold, Kharadi, Pune, Maharashtra, India.PIN: 411014</t>
  </si>
  <si>
    <t>HCL</t>
  </si>
  <si>
    <t>NIIT</t>
  </si>
  <si>
    <t>Blackrock Advertising</t>
  </si>
  <si>
    <t>Nov 2006 to Sept 2007</t>
  </si>
  <si>
    <t>Aviva</t>
  </si>
  <si>
    <t>Insurance Training</t>
  </si>
  <si>
    <t>0 days</t>
  </si>
  <si>
    <t>Call Centre</t>
  </si>
  <si>
    <t>W</t>
  </si>
  <si>
    <t>Jul 2020:  25.3</t>
  </si>
  <si>
    <t>Tax Payable</t>
  </si>
  <si>
    <t>A+B</t>
  </si>
  <si>
    <t>A+B+C</t>
  </si>
  <si>
    <t>Office Address</t>
  </si>
  <si>
    <t>A+B Transferred to EPAM in Aug 20</t>
  </si>
  <si>
    <t>PF credit in passbook - delay by PF Department.</t>
  </si>
  <si>
    <t>May Jun 20 PF money not deposited</t>
  </si>
  <si>
    <t>email subject</t>
  </si>
  <si>
    <t>contact Abhinav jalani</t>
  </si>
  <si>
    <t>Added 1.5L in account</t>
  </si>
  <si>
    <t>Location</t>
  </si>
  <si>
    <t>K#</t>
  </si>
  <si>
    <t>seema loved name#papi ddmm</t>
  </si>
  <si>
    <t>2020-21</t>
  </si>
  <si>
    <t>Till 30th Oct 2020</t>
  </si>
  <si>
    <t>30th Nov 2020</t>
  </si>
  <si>
    <t>FY2020-21</t>
  </si>
  <si>
    <t>31/10/2020</t>
  </si>
  <si>
    <t>Added on Oct 20</t>
  </si>
  <si>
    <t>Till Nov End</t>
  </si>
  <si>
    <t>5039233731</t>
  </si>
  <si>
    <t>FlyBlue Seema</t>
  </si>
  <si>
    <t>FlyBlue Sheetal</t>
  </si>
  <si>
    <t>5038764495</t>
  </si>
  <si>
    <t>Bluebiz number GB09032</t>
  </si>
  <si>
    <t>email/M@123/MobileOTP  PIN DDMM</t>
  </si>
  <si>
    <t>mail sent : enq_t@camsonline.com</t>
  </si>
  <si>
    <t>Redemption will be done on 10th Nov 20</t>
  </si>
  <si>
    <t>U1762615</t>
  </si>
  <si>
    <t>U1771433</t>
  </si>
  <si>
    <t>U1762864</t>
  </si>
  <si>
    <t>U1762616</t>
  </si>
  <si>
    <t>Sheetal Singh</t>
  </si>
  <si>
    <t>Seema Khandelwal</t>
  </si>
  <si>
    <t>Kaavya Khandelwal</t>
  </si>
  <si>
    <t>Prithvi Khandelwal</t>
  </si>
  <si>
    <t>23 Jan 1985</t>
  </si>
  <si>
    <t>26 Apr 1988</t>
  </si>
  <si>
    <t>25 Jan 2013</t>
  </si>
  <si>
    <t>02 Jan 2016</t>
  </si>
  <si>
    <t>DOB</t>
  </si>
  <si>
    <t>Passport</t>
  </si>
  <si>
    <t>NIE</t>
  </si>
  <si>
    <t>SSN</t>
  </si>
  <si>
    <t>281540049435</t>
  </si>
  <si>
    <t>Y8077821M</t>
  </si>
  <si>
    <t>Y8077825D</t>
  </si>
  <si>
    <t>Y8077832Q</t>
  </si>
  <si>
    <t>Y8077830Z</t>
  </si>
  <si>
    <t>SHEETAL_SINGH@EPAM.COM</t>
  </si>
  <si>
    <t>EPAM System Spain S.L., Av. Imperio Argentina, 19-21, 2º Planta, 29004 Málaga</t>
  </si>
  <si>
    <t>Calle Canillas de Aceituno, 3, 29004, Málaga, Spain</t>
  </si>
  <si>
    <t>Info</t>
  </si>
  <si>
    <t>Jul 2017 to Nov 2020</t>
  </si>
  <si>
    <t>Nov 2020</t>
  </si>
  <si>
    <t>Rs 160000</t>
  </si>
  <si>
    <t>Account CLOSED</t>
  </si>
  <si>
    <t>26a@ / 250113</t>
  </si>
  <si>
    <t>Refund Received 1st Dec 20  | CA Vishal | 80D 50K, 80DDB : 50K</t>
  </si>
  <si>
    <t>+919911872805/25j</t>
  </si>
  <si>
    <t>first daughter ddmm</t>
  </si>
  <si>
    <t>refund processed on 20th Dec 2020</t>
  </si>
  <si>
    <t>12th Aug 2020</t>
  </si>
  <si>
    <t>Lowi</t>
  </si>
  <si>
    <t>gmail/M@123</t>
  </si>
  <si>
    <t>epam mail/M@123</t>
  </si>
  <si>
    <t>s$</t>
  </si>
  <si>
    <t>Jul 2017 = '21.5 + 5</t>
  </si>
  <si>
    <t>Dec 2020 | 45K + 5K bonus</t>
  </si>
  <si>
    <t>Gade</t>
  </si>
  <si>
    <t>TF5127 Qwerty@123      PIN:786786</t>
  </si>
  <si>
    <t>147cmasharma@gmail.com</t>
  </si>
  <si>
    <t>Mirae Asset Emerging Bluechip Fund</t>
  </si>
  <si>
    <t>PGIM India Midcap Opportunity Fund</t>
  </si>
  <si>
    <t>Kotak Small Cap Fund G</t>
  </si>
  <si>
    <t>Ref: 905866 | 16th Jan 2021 | Redeem Value = 47362</t>
  </si>
  <si>
    <t>Absoulute Return</t>
  </si>
  <si>
    <t>Ref: MF-186013 | 16th Jan 2021 | Redeem Value = 60241</t>
  </si>
  <si>
    <t xml:space="preserve">Ref: EAAGR1311359285 | 16th Jan 2021 </t>
  </si>
  <si>
    <t>Ref: 172298515 | 16th Jan</t>
  </si>
  <si>
    <t>Ref: 161914818 | 16th Jan 2021</t>
  </si>
  <si>
    <t>Ref: SCAGR1311359310 | 16th Jan 2021</t>
  </si>
  <si>
    <t>16th Jan 2021</t>
  </si>
  <si>
    <t>Credited</t>
  </si>
  <si>
    <t>Hybrid</t>
  </si>
  <si>
    <t>PAPA MFs</t>
  </si>
  <si>
    <t xml:space="preserve">NIPPON INDIA LARGE CAP FUND </t>
  </si>
  <si>
    <t xml:space="preserve">PAN / M@      </t>
  </si>
  <si>
    <t xml:space="preserve">401211845622    </t>
  </si>
  <si>
    <t>90150372596</t>
  </si>
  <si>
    <t>Axis Bluechip Fund Regular Growth</t>
  </si>
  <si>
    <t>redeemed on 3rd jan 2021</t>
  </si>
  <si>
    <t xml:space="preserve">ABSL Tax Relief '96 Fund-ELSS </t>
  </si>
  <si>
    <t>Axis Long Term Equity Fund Regular Growth</t>
  </si>
  <si>
    <t xml:space="preserve">1038350798         </t>
  </si>
  <si>
    <t xml:space="preserve">90150373481  </t>
  </si>
  <si>
    <t>PAN/ M@</t>
  </si>
  <si>
    <t>Sr Software Test Engineer</t>
  </si>
  <si>
    <t>7975075</t>
  </si>
  <si>
    <t>25th</t>
  </si>
  <si>
    <t>15th</t>
  </si>
  <si>
    <t>beti</t>
  </si>
  <si>
    <t>19924228773</t>
  </si>
  <si>
    <t>Large-Mid Cap</t>
  </si>
  <si>
    <t>20th</t>
  </si>
  <si>
    <t>Focused</t>
  </si>
  <si>
    <t>163449/85</t>
  </si>
  <si>
    <t>5103147542</t>
  </si>
  <si>
    <t>29th Dec 2019 SIP not creditted</t>
  </si>
  <si>
    <t>Rs 50000</t>
  </si>
  <si>
    <t>18th Feb 2021</t>
  </si>
  <si>
    <t># Folio: 40858476206 rel growth fund  117.808  132234 50k  9899855865</t>
  </si>
  <si>
    <t>910106393786</t>
  </si>
  <si>
    <t>9105163935</t>
  </si>
  <si>
    <t>Canera Robeco Emerging Equity</t>
  </si>
  <si>
    <t>pol: 17919780 | Term: 30 yr [2013 to 2043] | Due date: 29 July</t>
  </si>
  <si>
    <t>SeemaPAN/OTP in email n ph</t>
  </si>
  <si>
    <t>Year FY</t>
  </si>
  <si>
    <t>Dated Oct 2020: All previous PF has been transferred to EPAM. No idea about Pension fund.</t>
  </si>
  <si>
    <t>4th Jan 2021</t>
  </si>
  <si>
    <t>Final NAV</t>
  </si>
  <si>
    <t>Tot Units</t>
  </si>
  <si>
    <t>Final Val</t>
  </si>
  <si>
    <t>Profits</t>
  </si>
  <si>
    <t>Switched from Flexi to Midcaps Ref no. 90138320 on 25th Mar 2021</t>
  </si>
  <si>
    <t>email/K@</t>
  </si>
  <si>
    <t>redeemed on 31 Mar 2021 , ref no GFD1G16331285</t>
  </si>
  <si>
    <t>Redemption on 31Mar 2021 Ref: 194717539</t>
  </si>
  <si>
    <t>CAGR</t>
  </si>
  <si>
    <t>XIRR</t>
  </si>
  <si>
    <t>Absolute</t>
  </si>
  <si>
    <t>ICICI Prudential Technology Fund</t>
  </si>
  <si>
    <t>SIP Date</t>
  </si>
  <si>
    <t>1st</t>
  </si>
  <si>
    <t>5th</t>
  </si>
  <si>
    <t>Best date for SIP: 25th, 28th, 14th</t>
  </si>
  <si>
    <t>CAGR (Lumsum + more than 1 year)</t>
  </si>
  <si>
    <t>XIRR (SIP + more than 1 year)</t>
  </si>
  <si>
    <t>Absolute Return (for less than 1 year) | (FV-IV)/IV</t>
  </si>
  <si>
    <t>Imp Information:</t>
  </si>
  <si>
    <t>Value &amp; Momentum</t>
  </si>
  <si>
    <t>Seema loved name</t>
  </si>
  <si>
    <t>sheetal0123/K#</t>
  </si>
  <si>
    <t>Sectoral</t>
  </si>
  <si>
    <t>Redeemption</t>
  </si>
  <si>
    <t>Small Case</t>
  </si>
  <si>
    <t>Seema PAN/ M@123</t>
  </si>
  <si>
    <t>28th</t>
  </si>
  <si>
    <t>Small case: Value &amp; Momentum</t>
  </si>
  <si>
    <t>2nd June 2021</t>
  </si>
  <si>
    <t>25th Apr 2021</t>
  </si>
  <si>
    <t>OLD URN : CRDIRECT-006241 | NEW URN : CRDIRECT-111747 | New Ref:  ID 128488872</t>
  </si>
  <si>
    <t>Biller: KTDIRECT-255309</t>
  </si>
  <si>
    <t>Biller: PM000000-A18482</t>
  </si>
  <si>
    <t>Biller: MAEB5603-A01661</t>
  </si>
  <si>
    <t>OLD URN: CRDIRECT-004633 | NEW URN: CRDIRECT-110038</t>
  </si>
  <si>
    <t>Quant Small Cap Fund (via ETMoney)</t>
  </si>
  <si>
    <t>25th May, 25thMay, 25June, 25June</t>
  </si>
  <si>
    <t>Deducting 25K twice</t>
  </si>
  <si>
    <t>27thMay, 25Jun</t>
  </si>
  <si>
    <t>FY 2020-21</t>
  </si>
  <si>
    <t>SBI FO 80K Loss</t>
  </si>
  <si>
    <t>entradas.janto.es</t>
  </si>
  <si>
    <t>Sa123</t>
  </si>
  <si>
    <t>EMT A</t>
  </si>
  <si>
    <t>EMT B</t>
  </si>
  <si>
    <t>email seema</t>
  </si>
  <si>
    <t>email my</t>
  </si>
  <si>
    <t>malaga bici bicycle</t>
  </si>
  <si>
    <t>Axis Bluechip Fund</t>
  </si>
  <si>
    <t>Canara Robeco Bluechip Equity Fund - started again</t>
  </si>
  <si>
    <t>Oneplus Nord</t>
  </si>
  <si>
    <t>gmail login / pwd: 26a@</t>
  </si>
  <si>
    <t>vueling</t>
  </si>
  <si>
    <t>gmail / B@</t>
  </si>
  <si>
    <t>FD</t>
  </si>
  <si>
    <t>23 Sept 2021</t>
  </si>
  <si>
    <t>23 Oct 2022</t>
  </si>
  <si>
    <t>HDFC @ 4.9%</t>
  </si>
  <si>
    <t>Maturity Amt</t>
  </si>
  <si>
    <t>Maturity Date</t>
  </si>
  <si>
    <t>Amt</t>
  </si>
  <si>
    <t>Nominee updated</t>
  </si>
  <si>
    <t>Google Payout</t>
  </si>
  <si>
    <t>9th Oct 2020</t>
  </si>
  <si>
    <t>23rd Sept 2021</t>
  </si>
  <si>
    <t>USD</t>
  </si>
  <si>
    <t>INR</t>
  </si>
  <si>
    <t>kuku bank</t>
  </si>
  <si>
    <t>E22426941</t>
  </si>
  <si>
    <t>E22426944</t>
  </si>
  <si>
    <t>E22426943</t>
  </si>
  <si>
    <t>E22426942</t>
  </si>
  <si>
    <t>AN1723752553</t>
  </si>
  <si>
    <t>Bank Account</t>
  </si>
  <si>
    <t>ES7521030148800030022219</t>
  </si>
  <si>
    <t>Kaavya</t>
  </si>
  <si>
    <t>CEIP Hogarsol</t>
  </si>
  <si>
    <t>digital@ceiphogarsol.com</t>
  </si>
  <si>
    <t>951 29 88 88</t>
  </si>
  <si>
    <t>Prithvi</t>
  </si>
  <si>
    <t>Virgen del Carmen Colegio Diocesano</t>
  </si>
  <si>
    <t>josefa.zafra@fundacionvictoria.edu.es</t>
  </si>
  <si>
    <t>952 31 12 43</t>
  </si>
  <si>
    <t>AN1723752048</t>
  </si>
  <si>
    <t>AN1723753260</t>
  </si>
  <si>
    <t>AN1723754169</t>
  </si>
  <si>
    <t>https://www.ubs.com/onesource/EPAM</t>
  </si>
  <si>
    <t>askstockpurchaseplan@epam.com</t>
  </si>
  <si>
    <t>Xiomi MI Mobile</t>
  </si>
  <si>
    <t>seema gmail</t>
  </si>
  <si>
    <t>26a@..</t>
  </si>
  <si>
    <t>Account: 5298902536</t>
  </si>
  <si>
    <t>Account 1579480041</t>
  </si>
  <si>
    <t>B1631433692909</t>
  </si>
  <si>
    <t>Earning</t>
  </si>
  <si>
    <t>Expense</t>
  </si>
  <si>
    <t>Saving</t>
  </si>
  <si>
    <t>1st Jan 2022</t>
  </si>
  <si>
    <t>5th Jan 2022</t>
  </si>
  <si>
    <t>To</t>
  </si>
  <si>
    <t>Bhabhiji Axis</t>
  </si>
  <si>
    <t>From My HDFC</t>
  </si>
  <si>
    <t>ICICI Fixed FD</t>
  </si>
  <si>
    <t>14th Nov 2023</t>
  </si>
  <si>
    <t>ICICI Linked FD</t>
  </si>
  <si>
    <t>(Money getting used in SIP)</t>
  </si>
  <si>
    <t>Depend</t>
  </si>
  <si>
    <t>#To Bhaiya for Property</t>
  </si>
  <si>
    <t>10th Jan 2022</t>
  </si>
  <si>
    <t>11th Jan 2022</t>
  </si>
  <si>
    <t>13th jan 2022</t>
  </si>
  <si>
    <t>From Seema ICICI</t>
  </si>
  <si>
    <t>Seema_PAN/Ka@26</t>
  </si>
  <si>
    <t>Txn: 173943460 , 17Jan2022, SIP Cancelled</t>
  </si>
  <si>
    <t>Tx Ref: 173943461 , 17th Jan2022, SIP cancelled</t>
  </si>
  <si>
    <t>MyEmail/Ka@26</t>
  </si>
  <si>
    <t>Linked to My Kotak portfolio</t>
  </si>
  <si>
    <t>ICICI Prudential Commodities (Remove Biller)</t>
  </si>
  <si>
    <t>Years</t>
  </si>
  <si>
    <t>11 Months</t>
  </si>
  <si>
    <t>3 Yrs</t>
  </si>
  <si>
    <t>2 Yrs</t>
  </si>
  <si>
    <t>EPAM Malaga</t>
  </si>
  <si>
    <t>3 Yrs 4 Months</t>
  </si>
  <si>
    <t>2 Months</t>
  </si>
  <si>
    <t>9 Months</t>
  </si>
  <si>
    <t>1.6 Yrs</t>
  </si>
  <si>
    <t>22nd Jan 2022</t>
  </si>
  <si>
    <t>MrJadhav **6018</t>
  </si>
  <si>
    <t>NileshJadhav **22252</t>
  </si>
  <si>
    <t>SwetaJadhav **72</t>
  </si>
  <si>
    <t>Apple Id</t>
  </si>
  <si>
    <t>Forgot</t>
  </si>
  <si>
    <t>Need old SIM</t>
  </si>
  <si>
    <t>sheetal0123@aol.com</t>
  </si>
  <si>
    <t>25j@</t>
  </si>
  <si>
    <t>emp code: 531534, Q: mataro, 2010, malaga | Cell: +34 603 785 707 | 
Postal code: 29003 | Email: personal + sheetal_singh@epam.com</t>
  </si>
  <si>
    <t>EPAM, Malaga Dec 2020</t>
  </si>
  <si>
    <t>10 Mar</t>
  </si>
  <si>
    <t>67,620.77</t>
  </si>
  <si>
    <t>10th Mar Rs67621 deposited in HDFC</t>
  </si>
  <si>
    <t>cord.co</t>
  </si>
  <si>
    <t>30th Apr 2022</t>
  </si>
  <si>
    <t>Rudra ICICI</t>
  </si>
  <si>
    <t>Rudra SBI</t>
  </si>
  <si>
    <t>Vishal HDFC</t>
  </si>
  <si>
    <t>Divya AXIS</t>
  </si>
  <si>
    <t>3rd May 2022</t>
  </si>
  <si>
    <t>share value</t>
  </si>
  <si>
    <t>discounted 15%</t>
  </si>
  <si>
    <t>shares</t>
  </si>
  <si>
    <t>10.66</t>
  </si>
  <si>
    <t>Invest Amt</t>
  </si>
  <si>
    <t>2400 Dollar</t>
  </si>
  <si>
    <t>4th May 2022</t>
  </si>
  <si>
    <t>5th May 2022</t>
  </si>
  <si>
    <t>16th May 2022</t>
  </si>
  <si>
    <t>ATM Cash</t>
  </si>
  <si>
    <t>147cmasharma</t>
  </si>
  <si>
    <t>1st June 2022</t>
  </si>
  <si>
    <t>dist: Pune</t>
  </si>
  <si>
    <t>https://aaplesarkar.mahaonline.gov.in/en/Login/Login</t>
  </si>
  <si>
    <t>FY2022-23</t>
  </si>
  <si>
    <t>NA</t>
  </si>
  <si>
    <t>22nd June 2022</t>
  </si>
  <si>
    <t>Seema ICICI</t>
  </si>
  <si>
    <t>Ack No:HDSE12124453 | Contribution Receipt Number: 12671016319954184 | Trx RefNo: 3578852313412. | Rs50295.00</t>
  </si>
  <si>
    <t>kuku gmail id / 26…@.....</t>
  </si>
  <si>
    <t>paypal.me/147seema</t>
  </si>
  <si>
    <t>FB Seema</t>
  </si>
  <si>
    <t>"+917011448640" / "K@25"</t>
  </si>
  <si>
    <t>'NPS@hdfcsec.com, Mala.Jha@hdfcsec.com'</t>
  </si>
  <si>
    <t>Sandeep</t>
  </si>
  <si>
    <t>4th July 2022</t>
  </si>
  <si>
    <t>8th July 2022</t>
  </si>
  <si>
    <t>Euro 500 @ 82.3</t>
  </si>
  <si>
    <t>Euro 6000 + 87 @ 78.4</t>
  </si>
  <si>
    <t>INR = 511483/-</t>
  </si>
  <si>
    <t>PAN</t>
  </si>
  <si>
    <t>Tax Seema</t>
  </si>
  <si>
    <t>gmail. |  Sheetal0123</t>
  </si>
  <si>
    <t>personal token 30 days valid: 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</t>
  </si>
  <si>
    <t>sheetal0123/Bharat@123</t>
  </si>
  <si>
    <t>NIE/P1</t>
  </si>
  <si>
    <t/>
  </si>
  <si>
    <t>Bitcoin</t>
  </si>
  <si>
    <t>BTC</t>
  </si>
  <si>
    <t>Solana</t>
  </si>
  <si>
    <t>SOL</t>
  </si>
  <si>
    <t>AVAX</t>
  </si>
  <si>
    <t>Avalanche</t>
  </si>
  <si>
    <t>Cardona</t>
  </si>
  <si>
    <t>ADA</t>
  </si>
  <si>
    <t>Ethereum</t>
  </si>
  <si>
    <t>ETH</t>
  </si>
  <si>
    <t>Code</t>
  </si>
  <si>
    <t>Coins</t>
  </si>
  <si>
    <t>01 June 2012 to 18 June 2015</t>
  </si>
  <si>
    <t>Symphony Teleca Corp India Pvt Ltd</t>
  </si>
  <si>
    <t>19 June 2015 to 13 July 2017</t>
  </si>
  <si>
    <t>19 July 2017 to 30 Nov 2020</t>
  </si>
  <si>
    <t>01 Aug 2008 to 15 Mar 2010</t>
  </si>
  <si>
    <t>EPAM ELSS UBS</t>
  </si>
  <si>
    <t>438.0</t>
  </si>
  <si>
    <t>11.45</t>
  </si>
  <si>
    <t>109.37</t>
  </si>
  <si>
    <t>31st Oct</t>
  </si>
  <si>
    <t>30th Apr 2022 = 10.66 shares @225.25</t>
  </si>
  <si>
    <t>Epam: Apr 2022 | 49 K + Bonus</t>
  </si>
  <si>
    <t>June 2022</t>
  </si>
  <si>
    <t>INR = 2705000</t>
  </si>
  <si>
    <t xml:space="preserve">Coins </t>
  </si>
  <si>
    <t>1st Jan 2023</t>
  </si>
  <si>
    <t>My Banks</t>
  </si>
  <si>
    <t>Kuku Banks</t>
  </si>
  <si>
    <t>31st Oct 2022</t>
  </si>
  <si>
    <t>Investment $</t>
  </si>
  <si>
    <t>Stock</t>
  </si>
  <si>
    <t>18 July 2011 to 30 May 2012</t>
  </si>
  <si>
    <t>epam_options@ubs.com</t>
  </si>
  <si>
    <t>10</t>
  </si>
  <si>
    <t>20.614</t>
  </si>
  <si>
    <t>2400</t>
  </si>
  <si>
    <t>2441</t>
  </si>
  <si>
    <t>225.24</t>
  </si>
  <si>
    <t>245.23</t>
  </si>
  <si>
    <t>$ 4841 / Euro 4720</t>
  </si>
  <si>
    <t>Purchase Rate</t>
  </si>
  <si>
    <t>Current Rate</t>
  </si>
  <si>
    <t>3 Nov 2022 = @327</t>
  </si>
  <si>
    <t>user/pwd = sheetal0123/Ka @.... (wife)</t>
  </si>
  <si>
    <t>Account No: NI86691</t>
  </si>
  <si>
    <t>Hint: mataro, 2010, malaga</t>
  </si>
  <si>
    <t>My Gmail/Cell: +34 603 785 707</t>
  </si>
  <si>
    <t>Malaga address 29003</t>
  </si>
  <si>
    <t>Support Mon-Fri</t>
  </si>
  <si>
    <t xml:space="preserve"> 3 AM to 11 PM EST</t>
  </si>
  <si>
    <t>855-316-3726 or 201-272-7564</t>
  </si>
  <si>
    <t>cmasharma147@outlook.com</t>
  </si>
  <si>
    <t>Office 2021 purchase</t>
  </si>
  <si>
    <t>"M@1..</t>
  </si>
  <si>
    <t>Digilocker</t>
  </si>
  <si>
    <t>Adhar/Sheetal0123</t>
  </si>
  <si>
    <t>jio no/email id</t>
  </si>
  <si>
    <t xml:space="preserve">Adhar  </t>
  </si>
  <si>
    <t>nominee updated</t>
  </si>
  <si>
    <t>redeemed on 5th Jan 2023</t>
  </si>
  <si>
    <t>redeemed on 6th Jan 2023 | Ref: RD5995562</t>
  </si>
  <si>
    <t>Y2020+Y2021</t>
  </si>
  <si>
    <t>Y2022</t>
  </si>
  <si>
    <t>eDistrict Delhi Marriage</t>
  </si>
  <si>
    <t>23J@</t>
  </si>
  <si>
    <t>Wise</t>
  </si>
  <si>
    <t>Mar 2023 Seema ICICI = E 5000 @ 89.64 - Fees E35 (E 4965 = INR 445081)</t>
  </si>
  <si>
    <t xml:space="preserve">Dec 2022 Seema ICICI = E 4000 @87 - Fees E35 ( E3965 = INR 3.45L) </t>
  </si>
  <si>
    <t>Mobile</t>
  </si>
  <si>
    <t>Voda</t>
  </si>
  <si>
    <t>Axis Midcap</t>
  </si>
  <si>
    <t>Axis Flexi Funds</t>
  </si>
  <si>
    <t>Kuku</t>
  </si>
  <si>
    <t>Invested</t>
  </si>
  <si>
    <t>Current</t>
  </si>
  <si>
    <t>Mine</t>
  </si>
  <si>
    <t>Kotak Standard Multicap Fund / Kotak Felxi cap</t>
  </si>
  <si>
    <t>Principal Tax Saving Direct/ Sundaram</t>
  </si>
  <si>
    <t>Profit</t>
  </si>
  <si>
    <t>Apr 2023 Sheetal HDFC = E 5000 @ 90.06 - Fees E35 (E 4965 = INR 447191)</t>
  </si>
  <si>
    <t>HDFC Top 100 Fund</t>
  </si>
  <si>
    <t>Quant Small Cap</t>
  </si>
  <si>
    <t>Dau</t>
  </si>
  <si>
    <t>Epam India: 1Apr20 till 30Nov2020 | 1Dec2020 : Epam Malaga</t>
  </si>
  <si>
    <t>1 Dec 2020 to 3 Nov 2022</t>
  </si>
  <si>
    <t>Cognizant Spain</t>
  </si>
  <si>
    <t>2245419</t>
  </si>
  <si>
    <t>HRSSSpain@cognizant.com, HR-Spain@cognizant.com</t>
  </si>
  <si>
    <t xml:space="preserve"> 23J@</t>
  </si>
  <si>
    <t>https://portal.azure.com/#home</t>
  </si>
  <si>
    <t>https://account.microsoft.com/</t>
  </si>
  <si>
    <t>May 2023</t>
  </si>
  <si>
    <t xml:space="preserve">Gmail Subject: : CDSL Consolidated Account Statement (CAS) across Mutual Funds </t>
  </si>
  <si>
    <t># High Level MF Details</t>
  </si>
  <si>
    <t>%</t>
  </si>
  <si>
    <t>Account</t>
  </si>
  <si>
    <t>Kids</t>
  </si>
  <si>
    <t>IIFL / ONE Focused Fund</t>
  </si>
  <si>
    <t>FolioNumber/ Ka@260488</t>
  </si>
  <si>
    <t>Last SIP Apr 2023…Why?</t>
  </si>
  <si>
    <t>offline MF not included in report</t>
  </si>
  <si>
    <t>Quant Small Cap Fund</t>
  </si>
  <si>
    <t>Jul 2023 Seema ICICI = E 4999 @ 90.66 - Fees E34 (E 4965 = INR 450165)</t>
  </si>
  <si>
    <t>Mob: 9899855865 | Alt gmail: seema</t>
  </si>
  <si>
    <t>Canara Robeco Mutual Fund</t>
  </si>
  <si>
    <t>Contact details</t>
  </si>
  <si>
    <t>eCAN MFUIndia Seema</t>
  </si>
  <si>
    <t>eCAN = 23216ZZ053</t>
  </si>
  <si>
    <t>CRF no: E23216000000592</t>
  </si>
  <si>
    <t>username= sheetal0123singh</t>
  </si>
  <si>
    <t>My Insta</t>
  </si>
  <si>
    <t>Handle = @_sheetal0123</t>
  </si>
  <si>
    <t>25J@</t>
  </si>
  <si>
    <t>or via Gmail SSO</t>
  </si>
  <si>
    <t>MFUIndia | eCAN</t>
  </si>
  <si>
    <t>Invest EUR</t>
  </si>
  <si>
    <t>mail2prithvik@gmail.com</t>
  </si>
  <si>
    <t>Ch...@123</t>
  </si>
  <si>
    <t>DOB: 2 Jan 2009</t>
  </si>
  <si>
    <t>Sept 2023: KYC not updated, SIP rejected</t>
  </si>
  <si>
    <t>https://mfs.kfintech.com/investor/Transact/ChangeFolioEmail</t>
  </si>
  <si>
    <t>Taken via ETMoney site with Seema gmail login</t>
  </si>
  <si>
    <t xml:space="preserve">Digi </t>
  </si>
  <si>
    <t>https://www.cvlkra.com/ &gt; KYC inquiry &gt; PAN</t>
  </si>
  <si>
    <t>https://validate.cvlindia.com/CVLKRAVerification_V1/</t>
  </si>
  <si>
    <t># How to check KYC Status | MF KRA Details</t>
  </si>
  <si>
    <t>Madrid</t>
  </si>
  <si>
    <t>House</t>
  </si>
  <si>
    <t>Wifi</t>
  </si>
  <si>
    <t>Elec</t>
  </si>
  <si>
    <t>Gas</t>
  </si>
  <si>
    <t>Total Fixed</t>
  </si>
  <si>
    <t>Grocery</t>
  </si>
  <si>
    <t>Gym/Activity</t>
  </si>
  <si>
    <t>Party</t>
  </si>
  <si>
    <t>Appx Expense</t>
  </si>
  <si>
    <t>Quant-Dynamic-Asset-Allocation-Fund Direct (ETMoney)</t>
  </si>
  <si>
    <t>Quant Small Cap Fund Direct (ETMoney)</t>
  </si>
  <si>
    <t>ETMoney Order No: 101-0110885-0001769</t>
  </si>
  <si>
    <t>ETMoney Order: 101-0061071-0001607</t>
  </si>
  <si>
    <t>ETMoney/ Seema Gmail</t>
  </si>
  <si>
    <t>Nov 2023</t>
  </si>
  <si>
    <t>KFinTech</t>
  </si>
  <si>
    <t>KRA</t>
  </si>
  <si>
    <t>7Feb, 10May, 10Jun || missed 4 mar/apr/sept/oct 2023</t>
  </si>
  <si>
    <t>Nov 2023 Sheetal HDFC = E 4000 @ 91.08 - Fees E26 (E 3974 = INR 3.62L)</t>
  </si>
  <si>
    <t>NPS PRAN</t>
  </si>
  <si>
    <t>BB</t>
  </si>
  <si>
    <t>NIE/02******</t>
  </si>
  <si>
    <t xml:space="preserve">Ascending </t>
  </si>
  <si>
    <t>gmail / M@...</t>
  </si>
  <si>
    <t>1st Jan 2024</t>
  </si>
  <si>
    <t>https://www.mfuonline.com/onlineMfuPage?reqPageType=eCAN&amp;t=E</t>
  </si>
  <si>
    <t>sheetal / M123</t>
  </si>
  <si>
    <t>NIE / Mobile 707</t>
  </si>
  <si>
    <t>"Kavi@....</t>
  </si>
  <si>
    <t>d</t>
  </si>
  <si>
    <t>OTP to Jio Mobile …8640</t>
  </si>
  <si>
    <t>closed</t>
  </si>
  <si>
    <t>EPAM Stocks</t>
  </si>
  <si>
    <t>Seema Gmail</t>
  </si>
  <si>
    <t>sheetal0123/K@25**</t>
  </si>
  <si>
    <t>Kotak MF</t>
  </si>
  <si>
    <t>43K</t>
  </si>
  <si>
    <t>9911872805 &gt; Email OTP &gt; MPIN</t>
  </si>
  <si>
    <t>MPIN:250113</t>
  </si>
  <si>
    <t>7011448640 &gt; Email &gt; MPIN</t>
  </si>
  <si>
    <t>Nomination</t>
  </si>
  <si>
    <t>Mirae</t>
  </si>
  <si>
    <t>PGIM</t>
  </si>
  <si>
    <t>Axis</t>
  </si>
  <si>
    <t>MFs Kuku</t>
  </si>
  <si>
    <t>MFs Papi</t>
  </si>
  <si>
    <t>5334524</t>
  </si>
  <si>
    <t>9102970414</t>
  </si>
  <si>
    <t>19914138621</t>
  </si>
  <si>
    <t>2108022731</t>
  </si>
  <si>
    <t>61069494</t>
  </si>
  <si>
    <t>gmail/M@123/Email OTP</t>
  </si>
  <si>
    <t>Nippon/Reliance MF</t>
  </si>
  <si>
    <t>Invesco MF</t>
  </si>
  <si>
    <t>BOI Bank Of India MF</t>
  </si>
  <si>
    <t>CAMs</t>
  </si>
  <si>
    <t>ICICI MF</t>
  </si>
  <si>
    <t># Properties</t>
  </si>
  <si>
    <t>25 Gaj Land Najafgarg</t>
  </si>
  <si>
    <t>PDM 2BHK Flat</t>
  </si>
  <si>
    <t>28L</t>
  </si>
  <si>
    <t>10L</t>
  </si>
  <si>
    <t>Y2023</t>
  </si>
  <si>
    <t>investor.line@mutualfunds.hsbc.co.in</t>
  </si>
  <si>
    <t xml:space="preserve">	service@tataamc.com, info@tatamf.in</t>
  </si>
  <si>
    <t>Email Ref=009-103-272</t>
  </si>
  <si>
    <t>Tata MF (Prithvi)</t>
  </si>
  <si>
    <t>Yr</t>
  </si>
  <si>
    <t>20 Lac</t>
  </si>
  <si>
    <t>1.2 Cr</t>
  </si>
  <si>
    <t>12 Lac</t>
  </si>
  <si>
    <t>INR(Appx)</t>
  </si>
  <si>
    <t>#Rental</t>
  </si>
  <si>
    <t>Rent €</t>
  </si>
  <si>
    <t>Total €</t>
  </si>
  <si>
    <t>kuku</t>
  </si>
  <si>
    <t>papi</t>
  </si>
  <si>
    <t>Deposit</t>
  </si>
  <si>
    <t>603785707/M@123</t>
  </si>
  <si>
    <t>Client ID: YY6329 | zpin 1238 | tpin 63291238</t>
  </si>
  <si>
    <t>DMAT ID: 1208160005825830 , CDSL, Support Code: 1238 , CKYC No: 40095291005743</t>
  </si>
  <si>
    <t>Smallcase</t>
  </si>
  <si>
    <t>https://smallcase.zerodha.com/investments</t>
  </si>
  <si>
    <t>Zerodha Kite</t>
  </si>
  <si>
    <t>AppCode on Mobile/ OTP on EMAIL</t>
  </si>
  <si>
    <t>https://smallcase.zerodha.com/smallcase/SCNM_0025</t>
  </si>
  <si>
    <t>Electric Mobility</t>
  </si>
  <si>
    <t xml:space="preserve">EVs </t>
  </si>
  <si>
    <t>68K</t>
  </si>
  <si>
    <t>12.5% 6Y</t>
  </si>
  <si>
    <t>Gulaq Gear 6</t>
  </si>
  <si>
    <t>60% 4Y</t>
  </si>
  <si>
    <t>https://smallcase.zerodha.com/smallcase/ESTMO_0001</t>
  </si>
  <si>
    <t>Aggressive</t>
  </si>
  <si>
    <t>24K</t>
  </si>
  <si>
    <t>CAGR shows actual growth every year on average</t>
  </si>
  <si>
    <t xml:space="preserve">Abs Return just consider initial and final amt but don’t consider years </t>
  </si>
  <si>
    <t>(a-b)/b*100</t>
  </si>
  <si>
    <t>73% 3Y</t>
  </si>
  <si>
    <t>Defence</t>
  </si>
  <si>
    <t>Omni Bharat Defence</t>
  </si>
  <si>
    <t>#Subscribe Model</t>
  </si>
  <si>
    <t>Ka@25..</t>
  </si>
  <si>
    <t>CTS email Id</t>
  </si>
  <si>
    <t>sheetalsingh8  &gt; Authenticate via Authenticator &gt; Github section</t>
  </si>
  <si>
    <t>Super Multipliers</t>
  </si>
  <si>
    <t>115% 1Y</t>
  </si>
  <si>
    <t>8K</t>
  </si>
  <si>
    <t>Good stock which are cheap now</t>
  </si>
  <si>
    <t>Omni Bullet Train-Great Indian Railways</t>
  </si>
  <si>
    <t>70% 3Y</t>
  </si>
  <si>
    <t>30K</t>
  </si>
  <si>
    <t>Omni Power - Electrifying India</t>
  </si>
  <si>
    <t>25K</t>
  </si>
  <si>
    <t>infra</t>
  </si>
  <si>
    <t>54% 3Y</t>
  </si>
  <si>
    <t>Penny Stocks Gulluck with Midcap</t>
  </si>
  <si>
    <t>Low rate mid cap stock</t>
  </si>
  <si>
    <t>3K</t>
  </si>
  <si>
    <t>40% 2Y</t>
  </si>
  <si>
    <t>VALUE DEALS</t>
  </si>
  <si>
    <t>Collection of Few Undervalued Companies that are Fundamentally Very Strong.</t>
  </si>
  <si>
    <t>11K</t>
  </si>
  <si>
    <t>50% 3Y</t>
  </si>
  <si>
    <t>https://www.smallcase.com/discover/all?count=11&amp;public=true&amp;sortBy=threeYearCagr&amp;sortOrder=-1</t>
  </si>
  <si>
    <t>https://www.smallcase.com/discover/all?count=11&amp;private=true&amp;sortBy=threeYearCagr&amp;sortOrder=-1</t>
  </si>
  <si>
    <t>https://smallcase.zerodha.com/discover/all?count=11&amp;public=true</t>
  </si>
  <si>
    <t>Apr 2021</t>
  </si>
  <si>
    <t>https://smallcase.zerodha.com/details/60856fd0d4700d6039d8ce51</t>
  </si>
  <si>
    <t>Link</t>
  </si>
  <si>
    <t>Inv Date</t>
  </si>
  <si>
    <t>Electric Vehicles</t>
  </si>
  <si>
    <t>Investment Rs</t>
  </si>
  <si>
    <t>Sensex= 73800</t>
  </si>
  <si>
    <t>02 Apr 2024</t>
  </si>
  <si>
    <t>Domain</t>
  </si>
  <si>
    <t>Zerodha Small Case Stocks</t>
  </si>
  <si>
    <t>Total Amt Invested</t>
  </si>
  <si>
    <t>#Investments</t>
  </si>
  <si>
    <t>#Banks</t>
  </si>
  <si>
    <t>Kuku ICICI</t>
  </si>
  <si>
    <t>Check Diary</t>
  </si>
  <si>
    <t>Details</t>
  </si>
  <si>
    <t>SBI Joint</t>
  </si>
  <si>
    <t>Mine BBVA</t>
  </si>
  <si>
    <t>Mine HDFC NRE/NRO</t>
  </si>
  <si>
    <t>Kuku Santender</t>
  </si>
  <si>
    <t>Papi PPF</t>
  </si>
  <si>
    <t>Papi NPS</t>
  </si>
  <si>
    <t>Pr@ddmm</t>
  </si>
  <si>
    <t>Papi EPF</t>
  </si>
  <si>
    <t>Papi Zerodha</t>
  </si>
  <si>
    <t>login via Kite Zerodha</t>
  </si>
  <si>
    <t>Papi MFs</t>
  </si>
  <si>
    <t>Seema MFs</t>
  </si>
  <si>
    <t>Stocks + Smallcase (H9 cell). Check Excel &gt; "Zerodha" sheet</t>
  </si>
  <si>
    <t>20.6 stocks of EPAM. Appx value in Euro 4700 via UBS. (B36 cell)</t>
  </si>
  <si>
    <t>Coinbase Crypto</t>
  </si>
  <si>
    <t xml:space="preserve">PDM </t>
  </si>
  <si>
    <t>Appx 28Lac</t>
  </si>
  <si>
    <t>Plot</t>
  </si>
  <si>
    <t>25 Gaj Plot Njf</t>
  </si>
  <si>
    <t>Check Diary for PRAN number / Appx amt (Money sheet &gt; H7 cell)</t>
  </si>
  <si>
    <t>Crypto Coins</t>
  </si>
  <si>
    <t>Monitization shd be ON. Attached to HDFC Bank. https://studio.youtube.com/channel/UCntCj4e6tG0LKp9PcLC4uMg/monetization/overview</t>
  </si>
  <si>
    <t>Jim Corbett</t>
  </si>
  <si>
    <t>Various crypto coins purchased via Coinbase website. Check "Log" sheet for login. + "Coins" Sheet</t>
  </si>
  <si>
    <t xml:space="preserve">Malaga </t>
  </si>
  <si>
    <t xml:space="preserve">Madrid </t>
  </si>
  <si>
    <t>Calle Vigen De La Consolacion 10, Planta 1, Puerta 1, Madrid 28027</t>
  </si>
  <si>
    <t>Avenida de Europa, n3, 4K, CP 29003 Malaga Spain</t>
  </si>
  <si>
    <t>Medical Malaga</t>
  </si>
  <si>
    <t>#SSY Sukanya</t>
  </si>
  <si>
    <t>Post Office Njf</t>
  </si>
  <si>
    <t>Rule: Pension will not get transfferred to other account and will not been visible in any statement. Pension will be received at the age of 58 and can be seen on special request to EPF dept.</t>
  </si>
  <si>
    <t>#EPF Employee Provident Fund</t>
  </si>
  <si>
    <t>#PPF Public Provident Fund</t>
  </si>
  <si>
    <t>Amt from last year</t>
  </si>
  <si>
    <t>PPF Calculation (Just For Example)</t>
  </si>
  <si>
    <t>General calculations (Just For Example)</t>
  </si>
  <si>
    <t>PPF in SBI Bank, attached to SBI Account (Money sheet &gt; H5 cell) + "PF" sheet</t>
  </si>
  <si>
    <t>Employee PPF, All previous companies epf attached to single UAN no.(Money sheet &gt; H6 cell) +  "PF" sheet</t>
  </si>
  <si>
    <t>#NPS National Pension Scheme</t>
  </si>
  <si>
    <t>Check "PF" sheet</t>
  </si>
  <si>
    <t>Sukanya</t>
  </si>
  <si>
    <t>K***@1</t>
  </si>
  <si>
    <t>https://www.moneycontrol.com/mutual-funds/nav/quant-large-cap-fund-direct-plan-growth/MES080</t>
  </si>
  <si>
    <t>https://www.moneycontrol.com/mutual-funds/nav/nippon-india-large-cap-fund-direct-plan-growth/MRC940</t>
  </si>
  <si>
    <t>https://www.moneycontrol.com/mutual-funds/nav/quant-small-cap-fund-direct-plan-growth/MES056</t>
  </si>
  <si>
    <t>https://www.moneycontrol.com/mutual-funds/nav/nippon-india-small-cap-fund/MRC587</t>
  </si>
  <si>
    <t>small</t>
  </si>
  <si>
    <t>large</t>
  </si>
  <si>
    <t>https://www.moneycontrol.com/mutual-funds/nav/quant-elss-tax-saver-fund-direct-plan-growth/MES037</t>
  </si>
  <si>
    <t>elss</t>
  </si>
  <si>
    <t>https://www.moneycontrol.com/mutual-funds/nav/sbi-long-term-equity-fund-direct-plan-growth/MSB499</t>
  </si>
  <si>
    <t>papa</t>
  </si>
  <si>
    <t>Quant</t>
  </si>
  <si>
    <t>SBI</t>
  </si>
  <si>
    <t>Apr 2024</t>
  </si>
  <si>
    <t>https://www.sbimf.com/</t>
  </si>
  <si>
    <t>K…..@....</t>
  </si>
  <si>
    <t>Papa</t>
  </si>
  <si>
    <t>Garvit</t>
  </si>
  <si>
    <t>Seema</t>
  </si>
  <si>
    <t>PAN/ K@25**</t>
  </si>
  <si>
    <t>2Lac</t>
  </si>
  <si>
    <t>3Lac</t>
  </si>
  <si>
    <t>https://invest.quantmutualfund.com/</t>
  </si>
  <si>
    <t>SBI Long Term Equity Fund ELSS (SBI Magnum Taxgain Scheme)</t>
  </si>
  <si>
    <t>https://www.sbimf.com/sbimf-scheme-details/sbi-long-term-equity-fund-(previously-known-as-sbi-magnum-taxgain-scheme)-3</t>
  </si>
  <si>
    <t>Quant ELSS Tax Saver Fund</t>
  </si>
  <si>
    <t>Error coming</t>
  </si>
  <si>
    <t>AUWPS0495H</t>
  </si>
  <si>
    <t>8th Dec 1954</t>
  </si>
  <si>
    <t>Not able to buy</t>
  </si>
  <si>
    <t>ETMoney</t>
  </si>
  <si>
    <t>https://montpellier-fefmont-madrid.educamos.com/DatosCentro/MisDatos/EditarDatosPersonalesPrimerAcceso</t>
  </si>
  <si>
    <t>Educamos MONTPELLIER School</t>
  </si>
  <si>
    <t>7 M</t>
  </si>
  <si>
    <t>Total Dec 2025</t>
  </si>
  <si>
    <t>13K/6month</t>
  </si>
  <si>
    <t>6K/6month</t>
  </si>
  <si>
    <t>https://smallcase.zerodha.com/smallcase/OMNNM_0012</t>
  </si>
  <si>
    <t>https://smallcase.zerodha.com/smallcase/PTDMO_0005</t>
  </si>
  <si>
    <t>Min Invt</t>
  </si>
  <si>
    <t>Fees</t>
  </si>
  <si>
    <t>Links</t>
  </si>
  <si>
    <t>2K/3month</t>
  </si>
  <si>
    <t>Dadu</t>
  </si>
  <si>
    <t>HDFC 4221</t>
  </si>
  <si>
    <t>1lac more</t>
  </si>
  <si>
    <t>required</t>
  </si>
  <si>
    <t>Green Energy</t>
  </si>
  <si>
    <t>78% 3Y</t>
  </si>
  <si>
    <t>90K</t>
  </si>
  <si>
    <t>Where</t>
  </si>
  <si>
    <t>Topic</t>
  </si>
  <si>
    <t>#Free Small Case</t>
  </si>
  <si>
    <t>Small Case  App</t>
  </si>
  <si>
    <t>https://omniscience.smallcase.com/smallcase/OMNNM_0002</t>
  </si>
  <si>
    <t>https://mfs.kfintech.com/Investor/General/ValidateKYC/</t>
  </si>
  <si>
    <t>Home Cost</t>
  </si>
  <si>
    <t>With Tax</t>
  </si>
  <si>
    <t>https://groww.in/calculators/emi-calculator</t>
  </si>
  <si>
    <t>EMI calculator</t>
  </si>
  <si>
    <t>EMI@2.4%15Y</t>
  </si>
  <si>
    <t>#Mortgage 1</t>
  </si>
  <si>
    <t>#Mortgage 2</t>
  </si>
  <si>
    <t>Interest Amt</t>
  </si>
  <si>
    <t>Next year Price Same</t>
  </si>
  <si>
    <t>Next Year Price Increase</t>
  </si>
  <si>
    <t>Loss of 5K</t>
  </si>
  <si>
    <t>Loss of 12K</t>
  </si>
  <si>
    <t>This Year</t>
  </si>
  <si>
    <t>This Year with Indian Saving</t>
  </si>
  <si>
    <t>8K Profit</t>
  </si>
  <si>
    <t>7 Lac</t>
  </si>
  <si>
    <t>Bank</t>
  </si>
  <si>
    <t>Home</t>
  </si>
  <si>
    <t>P1</t>
  </si>
  <si>
    <t>P2</t>
  </si>
  <si>
    <t>Self 250K + Same School</t>
  </si>
  <si>
    <t xml:space="preserve">Self 200K Home + Other School </t>
  </si>
  <si>
    <t>Other Areas</t>
  </si>
  <si>
    <t>Barrios</t>
  </si>
  <si>
    <t>Rental + Buy 200K</t>
  </si>
  <si>
    <t>Rental Income</t>
  </si>
  <si>
    <t>Start Search in Sept</t>
  </si>
  <si>
    <t>Areas</t>
  </si>
  <si>
    <t>Priority</t>
  </si>
  <si>
    <t>720 Euro</t>
  </si>
  <si>
    <t>920 Euro</t>
  </si>
  <si>
    <t>EMI 30 Yr(30KDeposit)</t>
  </si>
  <si>
    <t>"K@25..</t>
  </si>
  <si>
    <t>yes - July 2024</t>
  </si>
  <si>
    <t>"https://portal3.passportindia.gov.in/Online/index.html</t>
  </si>
  <si>
    <t>"https://portal2.passportindia.gov.in/AppOnlineProject/user/userLogin</t>
  </si>
  <si>
    <t>Passport Seva sheetal</t>
  </si>
  <si>
    <t>Passport Seva Seema</t>
  </si>
  <si>
    <t>Passport Seva Mom</t>
  </si>
  <si>
    <t>"147cmasharma@gmail.com</t>
  </si>
  <si>
    <t>Passport Seva at Indian Embassies</t>
  </si>
  <si>
    <t>"https://visa.vfsglobal.com/esp/en/ind/login</t>
  </si>
  <si>
    <t>"M@123</t>
  </si>
  <si>
    <t>"My Gmail</t>
  </si>
  <si>
    <t>"Seema Gmail</t>
  </si>
  <si>
    <t>"Kaa@ddmmyy</t>
  </si>
  <si>
    <t>Concept Consultores</t>
  </si>
  <si>
    <t>Manages properties in Madrid, Fees 1 month Rent/tenant one time cost. To further manages day to day things they charge 5% of rent /month</t>
  </si>
  <si>
    <t xml:space="preserve">  +34-607705118
  +34-919386380</t>
  </si>
  <si>
    <t>Home visit 16, we discussed this aprtment with them</t>
  </si>
  <si>
    <t>Aditya Birla Sun Life Mutual Fund</t>
  </si>
  <si>
    <t>1017671668</t>
  </si>
  <si>
    <t>19030264</t>
  </si>
  <si>
    <t>Franklin Templeton Mutual Fund</t>
  </si>
  <si>
    <t>HSBC Mutual Fund / LnT (Kaavya)</t>
  </si>
  <si>
    <t>2800092</t>
  </si>
  <si>
    <t>3558205</t>
  </si>
  <si>
    <t>Surname is mis spelled</t>
  </si>
  <si>
    <t>Sundaram (Principal Tax Saving Direct)</t>
  </si>
  <si>
    <t>Fund House</t>
  </si>
  <si>
    <t xml:space="preserve">Login </t>
  </si>
  <si>
    <t>Folio No</t>
  </si>
  <si>
    <t>MFs Kids</t>
  </si>
  <si>
    <t>OM</t>
  </si>
  <si>
    <t>TODOs</t>
  </si>
  <si>
    <t>https://app.mfcentral.com/portal/home</t>
  </si>
  <si>
    <t>"PAN/Bha@25mmyy</t>
  </si>
  <si>
    <t>Login</t>
  </si>
  <si>
    <t>MFCentral Verified</t>
  </si>
  <si>
    <t>"sheetal0123/Bha…@123</t>
  </si>
  <si>
    <t>PAN| 01j@</t>
  </si>
  <si>
    <t>Tax Mom</t>
  </si>
  <si>
    <t>OLD Tax system is better</t>
  </si>
  <si>
    <t>Tax Papa</t>
  </si>
  <si>
    <t>"PAN/Bh****@1****</t>
  </si>
  <si>
    <t>New Tax system is better</t>
  </si>
  <si>
    <t>Refund: 1200 Fy2023-24</t>
  </si>
  <si>
    <t>"26A@</t>
  </si>
  <si>
    <t>Tax Sheetal</t>
  </si>
  <si>
    <t>Redem Req: 565059754 / 2 Aug 2024</t>
  </si>
  <si>
    <t>Redeem 565075067 , 2 Aug 2024</t>
  </si>
  <si>
    <t>Axis Bluechip</t>
  </si>
  <si>
    <t>"PAN/Bha@123</t>
  </si>
  <si>
    <t>MFCentral - Seema</t>
  </si>
  <si>
    <t>Redeem req: 565220528 2 Aug 2024</t>
  </si>
  <si>
    <t>WayField</t>
  </si>
  <si>
    <t>27-28th July 2024</t>
  </si>
  <si>
    <t>Angle Investment</t>
  </si>
  <si>
    <t>Shares</t>
  </si>
  <si>
    <t>TBD</t>
  </si>
  <si>
    <t>WayFied</t>
  </si>
  <si>
    <t>LnT Tax Advantage Fund Growth (HSBC)</t>
  </si>
  <si>
    <t>Aug 2024 Money transferred to Kids Account</t>
  </si>
  <si>
    <t>Pending : 52K</t>
  </si>
  <si>
    <t>#Sinha</t>
  </si>
  <si>
    <t>TODO</t>
  </si>
  <si>
    <t>Redeem on 26Aug 2024, Ref: 597973787</t>
  </si>
  <si>
    <t>Redeem on 26Aug 2024, Ref: 597977173</t>
  </si>
  <si>
    <t>Redeem on 26Aug 2024, Ref: 597979388</t>
  </si>
  <si>
    <t xml:space="preserve"> 79935497462</t>
  </si>
  <si>
    <t>Redeem on 26Aug 2024, Ref: 597985350</t>
  </si>
  <si>
    <t>Last SIP is on Apr 2023. I don’t know if its still deducting or not.There shd be no more units left in account.</t>
  </si>
  <si>
    <t>Redeem on 26Aug 2024, Ref: 597990427</t>
  </si>
  <si>
    <t>Canera Robeco (2 MF)</t>
  </si>
  <si>
    <t>Quant MF (2 MF)</t>
  </si>
  <si>
    <t>MFCentral - Sheetal</t>
  </si>
  <si>
    <t>#Mortgage Final</t>
  </si>
  <si>
    <t>Govt Tax 7%</t>
  </si>
  <si>
    <t>Agent Fees 5.4%</t>
  </si>
  <si>
    <t>Total Cost</t>
  </si>
  <si>
    <t>Owner Payment Done</t>
  </si>
  <si>
    <t>Agent Fees Paid</t>
  </si>
  <si>
    <t xml:space="preserve">10% of the home </t>
  </si>
  <si>
    <t>Mortgage 90%</t>
  </si>
  <si>
    <t>#Case 1</t>
  </si>
  <si>
    <t>interest/month</t>
  </si>
  <si>
    <t>1st Sept 2024</t>
  </si>
  <si>
    <t>1st Oct 2024</t>
  </si>
  <si>
    <t>Appx Required</t>
  </si>
  <si>
    <t>Home Modification</t>
  </si>
  <si>
    <t>Money Req while signing</t>
  </si>
  <si>
    <t>salary</t>
  </si>
  <si>
    <t>BBVA 15K Loan</t>
  </si>
  <si>
    <t>Santender 15K Loan</t>
  </si>
  <si>
    <t>Take from friends, pay next month with BBVA loan</t>
  </si>
  <si>
    <t>Take Euro and Pay in Rs to friends</t>
  </si>
  <si>
    <t>India MF</t>
  </si>
  <si>
    <t>Insurance</t>
  </si>
  <si>
    <t>per month</t>
  </si>
  <si>
    <t>Govt Fee Annual</t>
  </si>
  <si>
    <t>Real EMI</t>
  </si>
  <si>
    <t>#Case 2</t>
  </si>
  <si>
    <t>Santender @2.2% Fixed 25 Y</t>
  </si>
  <si>
    <t>Santender @2.5% Fixed 30 Y</t>
  </si>
  <si>
    <t>Principle Amt</t>
  </si>
  <si>
    <t>Community charges</t>
  </si>
  <si>
    <t>Real EMI (Rs)</t>
  </si>
  <si>
    <t>Extra Interest than case 1</t>
  </si>
  <si>
    <t>Principle %</t>
  </si>
  <si>
    <t>#Mortgage</t>
  </si>
  <si>
    <t>/month</t>
  </si>
  <si>
    <t>Tasacion</t>
  </si>
  <si>
    <t>Evaluation of house for Mortgage</t>
  </si>
  <si>
    <t>#Property Agencies</t>
  </si>
  <si>
    <t>Contacts</t>
  </si>
  <si>
    <t>Website</t>
  </si>
  <si>
    <t>SrNo.</t>
  </si>
  <si>
    <t>Amount</t>
  </si>
  <si>
    <t>mdaqa@tecnocasa.es</t>
  </si>
  <si>
    <t>jaime.mansanet.kiron@gmail.com</t>
  </si>
  <si>
    <t>#Transactions &amp; Other Details</t>
  </si>
  <si>
    <t>Booking Amount</t>
  </si>
  <si>
    <t>Tecnocasa presented our case to Owner and get approval</t>
  </si>
  <si>
    <t>CONTRATO DE ARRAS / EARNEST MONEY CONTRACT</t>
  </si>
  <si>
    <t>Tecnocasa Fees</t>
  </si>
  <si>
    <t>Total Paid</t>
  </si>
  <si>
    <t>Kiron</t>
  </si>
  <si>
    <t>La Escritura Copia</t>
  </si>
  <si>
    <t>Certificado de Libre de Deudas de la Comunidad de Propietarios</t>
  </si>
  <si>
    <t>Untimos dos recibos de la Comunidad</t>
  </si>
  <si>
    <t>Ultimo Recibo del IBI</t>
  </si>
  <si>
    <t xml:space="preserve">Redem Req: 565049355 / 2 Aug 2024, Email Ref: 03955883 </t>
  </si>
  <si>
    <t>Paid 52K to kids: Done</t>
  </si>
  <si>
    <t>7889578 &amp; 7888484</t>
  </si>
  <si>
    <t>Birla</t>
  </si>
  <si>
    <t>Mahindra</t>
  </si>
  <si>
    <t>IDFC</t>
  </si>
  <si>
    <t>Why two folio</t>
  </si>
  <si>
    <t>Kussu</t>
  </si>
  <si>
    <t>163449</t>
  </si>
  <si>
    <t>5818594</t>
  </si>
  <si>
    <t>79935497462</t>
  </si>
  <si>
    <t>Spouse Contact</t>
  </si>
  <si>
    <t>Kotak</t>
  </si>
  <si>
    <t>7288902</t>
  </si>
  <si>
    <t>Not in MF Central</t>
  </si>
  <si>
    <t>Papi is Primary Holder of Kotak</t>
  </si>
  <si>
    <t>Profit %</t>
  </si>
  <si>
    <t>Sept 2024</t>
  </si>
  <si>
    <t>Notes New</t>
  </si>
  <si>
    <t>Staked %</t>
  </si>
  <si>
    <t>Free % can be sold</t>
  </si>
  <si>
    <t>Current Investment</t>
  </si>
  <si>
    <t>Open A/c in Santender</t>
  </si>
  <si>
    <t>Tasacion 1 took all time</t>
  </si>
  <si>
    <t>Self Contact</t>
  </si>
  <si>
    <t>Nomination updated</t>
  </si>
  <si>
    <t>Profit%</t>
  </si>
  <si>
    <t>xxx805</t>
  </si>
  <si>
    <t>20 Sept: Ref: 637247785 Mobile Updated</t>
  </si>
  <si>
    <t>Already have another aditya birla</t>
  </si>
  <si>
    <t>Paypal Kuku</t>
  </si>
  <si>
    <t>Paypal Mine</t>
  </si>
  <si>
    <t>@sheetal0123</t>
  </si>
  <si>
    <t>Netflix</t>
  </si>
  <si>
    <t>M@***</t>
  </si>
  <si>
    <t>Username</t>
  </si>
  <si>
    <t>Password</t>
  </si>
  <si>
    <t>Govt</t>
  </si>
  <si>
    <t>Emails</t>
  </si>
  <si>
    <t>Finance</t>
  </si>
  <si>
    <t>Educational</t>
  </si>
  <si>
    <t xml:space="preserve">connected with </t>
  </si>
  <si>
    <t>+34-603785707</t>
  </si>
  <si>
    <t>Sara</t>
  </si>
  <si>
    <t>Notary 1</t>
  </si>
  <si>
    <t>#KYC</t>
  </si>
  <si>
    <t>eCAN status eCAN 23216ZZ053 | CRF no: E23216000000592  | https://www.mfuonline.com/onlineMfuPage?reqPageType=eCAN&amp;t=E</t>
  </si>
  <si>
    <t>ecan status on hold quesry Ref.No. : 3224ZZ0000W | Date: 12 Aug 2023</t>
  </si>
  <si>
    <t>Seema eCAN: 23216ZZ053</t>
  </si>
  <si>
    <t># To create eCAN</t>
  </si>
  <si>
    <t>https://eurofidenotariosfuenlabrada.com/contacto/</t>
  </si>
  <si>
    <t>FEIN</t>
  </si>
  <si>
    <t>Home Value @255K</t>
  </si>
  <si>
    <t>#Santendar</t>
  </si>
  <si>
    <t xml:space="preserve">Application Number: 00494698202400798  </t>
  </si>
  <si>
    <t>FEIN application No: 661454</t>
  </si>
  <si>
    <t>Recibio</t>
  </si>
  <si>
    <t>nerea@notariosdefuenlabrada.com</t>
  </si>
  <si>
    <t>Titulo De Propiedad (Property Title)</t>
  </si>
  <si>
    <t>Precio De Venta y Forma De Pago Del Precio</t>
  </si>
  <si>
    <t>Gastos</t>
  </si>
  <si>
    <t>A</t>
  </si>
  <si>
    <t>9th Oct 2024</t>
  </si>
  <si>
    <t>11th Aug 2024</t>
  </si>
  <si>
    <t>13th Oct 2024</t>
  </si>
  <si>
    <t>Refer Email for Details: Funds for Wayfield</t>
  </si>
  <si>
    <t>Given 6.5L INR to Parvinder as Angel Fund (iTrust friend)</t>
  </si>
  <si>
    <t>Redeem: 10 Oct 2024</t>
  </si>
  <si>
    <t>https://www.icicipruamc.com/sign-in</t>
  </si>
  <si>
    <t>http://www.altios.com/</t>
  </si>
  <si>
    <t>l.bolanos@despacho.notariado.org</t>
  </si>
  <si>
    <t>Lbolaños@notarialafasca88.com</t>
  </si>
  <si>
    <t>+34-915774787</t>
  </si>
  <si>
    <t>Notaria D. Andrés Domínguez Nafría y D. Francisco Miras Ortiz</t>
  </si>
  <si>
    <t>andresdominguez@notariado.org</t>
  </si>
  <si>
    <t>jmunoz@notarialagasca88.com</t>
  </si>
  <si>
    <t>fpgonzalez@despacho.notariado.org</t>
  </si>
  <si>
    <t>Address: Calle de Lagasca, 88, 8 Planta, Salamanca, 28001 Madrid</t>
  </si>
  <si>
    <t>Dial 1 &gt; Ext: 105</t>
  </si>
  <si>
    <t>lourdesmaria.carballeda@gruposantander.es</t>
  </si>
  <si>
    <t>#Tecnocasa</t>
  </si>
  <si>
    <t>+34-914922910</t>
  </si>
  <si>
    <t>Fatima Perez (Prepare Mortgage Docs)</t>
  </si>
  <si>
    <t>#Home Details:</t>
  </si>
  <si>
    <t>Area</t>
  </si>
  <si>
    <t>4971609VK4747B0027AI</t>
  </si>
  <si>
    <t>REFERENCE CADASTRAL NUMBER</t>
  </si>
  <si>
    <t>MRS. MARÍA CONCEPCIÓN SANZ RODRÍGUEZ</t>
  </si>
  <si>
    <t>ES55 2100 0992 3113 0022 5611</t>
  </si>
  <si>
    <t>OWNER</t>
  </si>
  <si>
    <t>empestana@gruposantander.es</t>
  </si>
  <si>
    <t>Transactions</t>
  </si>
  <si>
    <t xml:space="preserve">Etheream </t>
  </si>
  <si>
    <t>In Bank</t>
  </si>
  <si>
    <t>Sell Coins to EUR Wallet</t>
  </si>
  <si>
    <t>#How to redeem money</t>
  </si>
  <si>
    <t>#Documents</t>
  </si>
  <si>
    <t>Govt Tax 5.4%</t>
  </si>
  <si>
    <t>Notary + Registry + Gestion</t>
  </si>
  <si>
    <t>Technocasa = 8167 &amp; Kiron = 4000</t>
  </si>
  <si>
    <t>2.25 CR INR</t>
  </si>
  <si>
    <t>2 CR INR</t>
  </si>
  <si>
    <t>Owner</t>
  </si>
  <si>
    <t>Tecnocasa</t>
  </si>
  <si>
    <t>Final Signature</t>
  </si>
  <si>
    <t>Carpet = 48 m2 / Super Area = 55 m2 / 1961</t>
  </si>
  <si>
    <t>592 Ft2  | 66 Gaj | 55 m2</t>
  </si>
  <si>
    <t>Owner 10% Done</t>
  </si>
  <si>
    <t>https://www.magicbricks.com/square-feet-to-gaj-pppfa</t>
  </si>
  <si>
    <t>https://www.calculatorsoup.com/calculators/conversions/square-meters-to-square-feet.php</t>
  </si>
  <si>
    <t>#SrNo</t>
  </si>
  <si>
    <t>Amt (Euro)</t>
  </si>
  <si>
    <t>For Previous Mortgage if any</t>
  </si>
  <si>
    <t>Mgr: Ruben, Andrea</t>
  </si>
  <si>
    <t>Spanish Manager</t>
  </si>
  <si>
    <t>English Manager</t>
  </si>
  <si>
    <t>Discount = 1.1% Insurance | 0.2% Salary 1 | 0.2% Salary 2 | Total = 1.5%</t>
  </si>
  <si>
    <t>Santender @2.2% Fixed 25 Y | Real Fixed Interest = 3.7%</t>
  </si>
  <si>
    <t>Actual = 3.7 - 1.5 = 2.2%</t>
  </si>
  <si>
    <t>Delay =Euro 49/month &amp;  (2.2 + 3)= 5.2% rate</t>
  </si>
  <si>
    <t>Max delay of 1Y possible</t>
  </si>
  <si>
    <t>ITE (Spain Govt Building inspection every 10 Year)</t>
  </si>
  <si>
    <t>Last ITE</t>
  </si>
  <si>
    <t>Next = 2027</t>
  </si>
  <si>
    <t>Certificado Corriente De pago Communidad</t>
  </si>
  <si>
    <t>Building Admin NOC</t>
  </si>
  <si>
    <t>Building Admin</t>
  </si>
  <si>
    <t>ecmfincas@hotmail.com</t>
  </si>
  <si>
    <t>+34-622712319</t>
  </si>
  <si>
    <t>Mr. Eduardo / David(President)</t>
  </si>
  <si>
    <t>Tasacion (Home Market Value evaluation - by bank)</t>
  </si>
  <si>
    <t>Annual Spain Govt Tax appx 300</t>
  </si>
  <si>
    <t>Need to issue every 10 Year</t>
  </si>
  <si>
    <t>Certificado Energetico (2024)</t>
  </si>
  <si>
    <t>Nota Simple (List Of Owner)</t>
  </si>
  <si>
    <t>'26a@</t>
  </si>
  <si>
    <t>Scratch</t>
  </si>
  <si>
    <t>Amazon Papi</t>
  </si>
  <si>
    <t>Amazon Seema</t>
  </si>
  <si>
    <t>Officials/MS Microsofts/Apple/Xiomi</t>
  </si>
  <si>
    <t>Papi Gmail</t>
  </si>
  <si>
    <t>Papi Yahoo</t>
  </si>
  <si>
    <t>https://portal1 &amp; 2 are for India</t>
  </si>
  <si>
    <t>Social Media / Entertainments/eCommerce/Travel</t>
  </si>
  <si>
    <t>Spain Specific</t>
  </si>
  <si>
    <t>Marriage Pune</t>
  </si>
  <si>
    <t>https://ssoidloginrajasthan.in/</t>
  </si>
  <si>
    <t>DOB Rajasthan</t>
  </si>
  <si>
    <t>Pune 160231289019  &gt; 4746</t>
  </si>
  <si>
    <t>Maharashtra Electricity</t>
  </si>
  <si>
    <t>IRCTC</t>
  </si>
  <si>
    <t>Edenred</t>
  </si>
  <si>
    <t>'https://dev.azure.com/sheetal0123/</t>
  </si>
  <si>
    <t>Bhabhiji</t>
  </si>
  <si>
    <t>SAT Kuku</t>
  </si>
  <si>
    <t>SAT mine</t>
  </si>
  <si>
    <t>Seema I</t>
  </si>
  <si>
    <t xml:space="preserve">H 2326 6890 493  </t>
  </si>
  <si>
    <t>'NIE/K@1</t>
  </si>
  <si>
    <t>ICICI Prudential Life Insurance</t>
  </si>
  <si>
    <r>
      <t>4</t>
    </r>
    <r>
      <rPr>
        <vertAlign val="superscript"/>
        <sz val="11"/>
        <color theme="1"/>
        <rFont val="Calibri"/>
        <family val="2"/>
      </rPr>
      <t>th</t>
    </r>
    <r>
      <rPr>
        <sz val="11"/>
        <color rgb="FF000000"/>
        <rFont val="Calibri"/>
        <family val="2"/>
      </rPr>
      <t xml:space="preserve"> Floor</t>
    </r>
  </si>
  <si>
    <r>
      <t>6</t>
    </r>
    <r>
      <rPr>
        <vertAlign val="superscript"/>
        <sz val="11"/>
        <color theme="1"/>
        <rFont val="Calibri"/>
        <family val="2"/>
      </rPr>
      <t>th</t>
    </r>
    <r>
      <rPr>
        <sz val="11"/>
        <color rgb="FF000000"/>
        <rFont val="Calibri"/>
        <family val="2"/>
      </rPr>
      <t xml:space="preserve"> Floor</t>
    </r>
  </si>
  <si>
    <r>
      <t>8</t>
    </r>
    <r>
      <rPr>
        <vertAlign val="superscript"/>
        <sz val="11"/>
        <color theme="1"/>
        <rFont val="Calibri"/>
        <family val="2"/>
      </rPr>
      <t>th</t>
    </r>
    <r>
      <rPr>
        <sz val="11"/>
        <color rgb="FF000000"/>
        <rFont val="Calibri"/>
        <family val="2"/>
      </rPr>
      <t xml:space="preserve"> Floor</t>
    </r>
  </si>
  <si>
    <r>
      <t>10</t>
    </r>
    <r>
      <rPr>
        <vertAlign val="superscript"/>
        <sz val="11"/>
        <color theme="1"/>
        <rFont val="Calibri"/>
        <family val="2"/>
      </rPr>
      <t>th</t>
    </r>
    <r>
      <rPr>
        <sz val="11"/>
        <color rgb="FF000000"/>
        <rFont val="Calibri"/>
        <family val="2"/>
      </rPr>
      <t xml:space="preserve"> Floor</t>
    </r>
  </si>
  <si>
    <t>LIC took two month for survey</t>
  </si>
  <si>
    <t>Other Payments</t>
  </si>
  <si>
    <t>On Excavation</t>
  </si>
  <si>
    <t>Payment Cheque Numbers</t>
  </si>
  <si>
    <t>Downpayment: 4 Lac paid to LIC</t>
  </si>
  <si>
    <t>#Flat Details</t>
  </si>
  <si>
    <t>#Amount Details</t>
  </si>
  <si>
    <t>#LIC</t>
  </si>
  <si>
    <t>User/pass: sheetal0123/ 23jan@...</t>
  </si>
  <si>
    <t>Email Ids</t>
  </si>
  <si>
    <t>#Email IDs</t>
  </si>
  <si>
    <t>RP of PDM</t>
  </si>
  <si>
    <t>ip.prabhushanti@gmail.com</t>
  </si>
  <si>
    <t>devumraoibc@gmail.com</t>
  </si>
  <si>
    <t>Devendra Umrao</t>
  </si>
  <si>
    <t>NCLT Approved PING Developer to start construction</t>
  </si>
  <si>
    <t>pdmlegalgroup@gmail.com</t>
  </si>
  <si>
    <t>PDM Legal Group</t>
  </si>
  <si>
    <t>Our association</t>
  </si>
  <si>
    <t>Vivek Goyal </t>
  </si>
  <si>
    <t>ARVINDK.KHOKHAR@gmail.com</t>
  </si>
  <si>
    <t>KAUSHIKVED2018@gmail.com</t>
  </si>
  <si>
    <t>Ved Prakash Kaushik</t>
  </si>
  <si>
    <t>Arvind Khokhar</t>
  </si>
  <si>
    <t>Vivek.HNG@gmail.com</t>
  </si>
  <si>
    <t>director@pingdevelopers.in</t>
  </si>
  <si>
    <t>PING Developer</t>
  </si>
  <si>
    <t>#Timelines</t>
  </si>
  <si>
    <t>#Santendar EMI</t>
  </si>
  <si>
    <t>Mortgage Amount</t>
  </si>
  <si>
    <t>EMI Start Month</t>
  </si>
  <si>
    <t>Total EMI @2.2% 25Y</t>
  </si>
  <si>
    <t>Vodaphone India</t>
  </si>
  <si>
    <t>Vodaphone Spain</t>
  </si>
  <si>
    <t>+91-7011448640</t>
  </si>
  <si>
    <t>Calle de Torrelaguna 18,7D, Madrid, 28027</t>
  </si>
  <si>
    <t>https://www.codigospostales.com/28027</t>
  </si>
  <si>
    <t>IKEA</t>
  </si>
  <si>
    <t>my email</t>
  </si>
  <si>
    <t>M@1**</t>
  </si>
  <si>
    <t>Spain mobile</t>
  </si>
  <si>
    <t xml:space="preserve">Kaavya/Prithvi Class Teacher </t>
  </si>
  <si>
    <t>Pie.txt &gt;  #School</t>
  </si>
  <si>
    <t>ENA241203165904164NNYDRWD4C5Z6AP</t>
  </si>
  <si>
    <t>ENACH ID</t>
  </si>
  <si>
    <t>Mandate Amount</t>
  </si>
  <si>
    <t>20Lac</t>
  </si>
  <si>
    <t>Mandate ID</t>
  </si>
  <si>
    <t>3rd Dec 2024</t>
  </si>
  <si>
    <t>#Reforma / White goods Items</t>
  </si>
  <si>
    <t>Plumber</t>
  </si>
  <si>
    <t xml:space="preserve">White Goods </t>
  </si>
  <si>
    <t>Home Shopping</t>
  </si>
  <si>
    <t>Seguro Ins Mine</t>
  </si>
  <si>
    <t>Seguro Kuku</t>
  </si>
  <si>
    <t>https://my.claimsolver.es/claims</t>
  </si>
  <si>
    <t>Santander Home Insurance</t>
  </si>
  <si>
    <t>NIE / S@ddmm</t>
  </si>
  <si>
    <t>'https://my.claimsolver.es/claims</t>
  </si>
  <si>
    <t>Agent</t>
  </si>
  <si>
    <t>#High Level Transactions</t>
  </si>
  <si>
    <t>INR 20 Lac</t>
  </si>
  <si>
    <t>INR 11 Lac</t>
  </si>
  <si>
    <t>INR 13 Lac</t>
  </si>
  <si>
    <t>INR 45 Lac</t>
  </si>
  <si>
    <t>Home Cost + Other Expenses</t>
  </si>
  <si>
    <t>INR 2.30 Cr</t>
  </si>
  <si>
    <t>INR 2.00 Cr</t>
  </si>
  <si>
    <t>20% of overall amt paid</t>
  </si>
  <si>
    <t>INR 1.80 Cr</t>
  </si>
  <si>
    <t>https://www.investwell.in/updation/parameter/par_scheme_factsheet.jsp?exlcode=414&amp;fscode=548</t>
  </si>
  <si>
    <t>https://www.investwell.in/updation/parameter/par_scheme_factsheet.jsp?exlcode=1261&amp;fscode=1708</t>
  </si>
  <si>
    <t>https://www.investwell.in/updation/parameter/par_scheme_factsheet.jsp?exlcode=48816&amp;fscode=31350</t>
  </si>
  <si>
    <t>Funds 01Jan2025</t>
  </si>
  <si>
    <t>SSS DISTRIBUTORS PRIVATE LIMITED</t>
  </si>
  <si>
    <t xml:space="preserve">Clinet ID: SHEET85 </t>
  </si>
  <si>
    <t>https://bsestarmf.in/</t>
  </si>
  <si>
    <t>1st Jan 2025</t>
  </si>
  <si>
    <t>MFs (Final Amt)</t>
  </si>
  <si>
    <t>Oct 2024</t>
  </si>
  <si>
    <t>Paid Amt</t>
  </si>
  <si>
    <t>Email: Sandeep | Euro 6500.00</t>
  </si>
  <si>
    <t>Paid Date</t>
  </si>
  <si>
    <t>Balance Amt euro 3550 appx</t>
  </si>
  <si>
    <t>"See..@ddmmyy</t>
  </si>
  <si>
    <t>New Password</t>
  </si>
  <si>
    <t>Current value = 4649</t>
  </si>
  <si>
    <t>Gain = $ negative</t>
  </si>
  <si>
    <t>Invested 01Jan 2025</t>
  </si>
  <si>
    <t># SPAIN ( in Euros)</t>
  </si>
  <si>
    <t>+52 Lac</t>
  </si>
  <si>
    <t>+20 Lac</t>
  </si>
  <si>
    <t>+12 Lac</t>
  </si>
  <si>
    <t>+3 Lac</t>
  </si>
  <si>
    <t>+40 Lac</t>
  </si>
  <si>
    <t>+32 Lac</t>
  </si>
  <si>
    <t>eSign nomination pending</t>
  </si>
  <si>
    <t>Appx balance left 3550 euro (G66 Cell)</t>
  </si>
  <si>
    <t>Appx 27 Lac (J61 Cell)</t>
  </si>
  <si>
    <t>God Is Great</t>
  </si>
  <si>
    <t>#My Wish</t>
  </si>
  <si>
    <t>https://nainitalcorbetttourism.com/garjia-temple.html</t>
  </si>
  <si>
    <t>Madrid Home</t>
  </si>
  <si>
    <t>45L INR Deposit</t>
  </si>
  <si>
    <t>Joint Santander</t>
  </si>
  <si>
    <t>#Money Over the Year</t>
  </si>
  <si>
    <t>#INDIA</t>
  </si>
  <si>
    <t>74 Lac</t>
  </si>
  <si>
    <t>35 Lac</t>
  </si>
  <si>
    <t>55 Lac</t>
  </si>
  <si>
    <t>67 Lac</t>
  </si>
  <si>
    <t>70 Lac</t>
  </si>
  <si>
    <t>Total INR</t>
  </si>
  <si>
    <t>Home Down Payment</t>
  </si>
  <si>
    <t>Total EURO</t>
  </si>
  <si>
    <t>Y2024</t>
  </si>
  <si>
    <t>Spain</t>
  </si>
  <si>
    <t>SBI E6500 + Fees E87 @82.31 (E6587 = 511483)</t>
  </si>
  <si>
    <t>EUR</t>
  </si>
  <si>
    <t>#Expenses in Spain</t>
  </si>
  <si>
    <t>#Bank FDs</t>
  </si>
  <si>
    <t>#EPAM Stock Option</t>
  </si>
  <si>
    <t>#WayField</t>
  </si>
  <si>
    <t>#YouTube</t>
  </si>
  <si>
    <t>#Money Lend</t>
  </si>
  <si>
    <t>+91 99118 72805</t>
  </si>
  <si>
    <t>+34 603785707 added</t>
  </si>
  <si>
    <t>Microsoft Account</t>
  </si>
  <si>
    <t># KYC Validation  CVL KRA</t>
  </si>
  <si>
    <t>https://learn.microsoft.com/en-us/users/sheetalsingh-3749</t>
  </si>
  <si>
    <t>https://learn.microsoft.com/en-us/users/sheetalsingh-2252</t>
  </si>
  <si>
    <t>MS Learn Account</t>
  </si>
  <si>
    <t>+34 603 78 57 07</t>
  </si>
  <si>
    <t>Region: Spain</t>
  </si>
  <si>
    <t>Ka@ddmmyy</t>
  </si>
  <si>
    <t>#CTS Email Linked</t>
  </si>
  <si>
    <t>Azure MCID:989801030</t>
  </si>
  <si>
    <t>Madrid Yellow Trees Pic</t>
  </si>
  <si>
    <t>Toledo Fort Pic</t>
  </si>
  <si>
    <t>NOR River Pic</t>
  </si>
  <si>
    <t>#Other MS Accounts</t>
  </si>
  <si>
    <t>#Gmail Linked - MAIN</t>
  </si>
  <si>
    <t xml:space="preserve">#Yahoo Linked </t>
  </si>
  <si>
    <t>https://www.mykoenig.com/student/index</t>
  </si>
  <si>
    <t>sheetal.singh8@cognizant.com</t>
  </si>
  <si>
    <t>MS Azure Cert Content</t>
  </si>
  <si>
    <t>MyKoenig</t>
  </si>
  <si>
    <t>https://gsi.learnondemand.net/</t>
  </si>
  <si>
    <t>MS Learn Account for Labs GSI</t>
  </si>
  <si>
    <t>Use MS Gmail A/c</t>
  </si>
  <si>
    <t>Exp on 9 Jul 2025</t>
  </si>
  <si>
    <t>Sold E2500 @ E2436</t>
  </si>
  <si>
    <t>Sold E400 @ E262</t>
  </si>
  <si>
    <t>Sold E2500 @ E101600</t>
  </si>
  <si>
    <t>Taken out all invested money</t>
  </si>
  <si>
    <t>Sold All Coins</t>
  </si>
  <si>
    <t>SAT Joint</t>
  </si>
  <si>
    <t>NIE / DDMMYY88</t>
  </si>
  <si>
    <t xml:space="preserve">Electronics Sign new : K**i25**  </t>
  </si>
  <si>
    <t>Redeem: 5th Feb 2025</t>
  </si>
  <si>
    <t>check redeemed icici in my hdfc bank</t>
  </si>
  <si>
    <t>ICICI Prudencial</t>
  </si>
  <si>
    <t>MS Account</t>
  </si>
  <si>
    <t>sheetal.singh8@cognizant.com / M@123</t>
  </si>
  <si>
    <t>MyKoenig MS partner</t>
  </si>
  <si>
    <t>GSI Learn Azure Lab Access</t>
  </si>
  <si>
    <t>Ku…@26..</t>
  </si>
  <si>
    <t>https://www.visattorney.com/</t>
  </si>
  <si>
    <t>avernet@visattorney.com  | +34 630 907 622</t>
  </si>
  <si>
    <t>CTS Lawyer Victor</t>
  </si>
  <si>
    <t>Contact Details</t>
  </si>
  <si>
    <t>Description</t>
  </si>
  <si>
    <t>Work Permit Renewal</t>
  </si>
  <si>
    <t>CTS Lawyer Ariadna</t>
  </si>
  <si>
    <t>victorsalcedo@visattorney.com</t>
  </si>
  <si>
    <t>#Lawyers</t>
  </si>
  <si>
    <t>Work Permit Related</t>
  </si>
  <si>
    <t xml:space="preserve">pilar.rodriguez@antaresrelocation.com | +34 610 15 81 56  </t>
  </si>
  <si>
    <t>https://www.anywr-group.es/</t>
  </si>
  <si>
    <t>Ester Aguayo Abogada</t>
  </si>
  <si>
    <t>Tax Filing</t>
  </si>
  <si>
    <t>Tax Filing, Malaga</t>
  </si>
  <si>
    <t>EP Lawyer Pilar</t>
  </si>
  <si>
    <t>Ritu Barcelona</t>
  </si>
  <si>
    <t>#Notary 2 - Salamanca Madrid City (Our Notary)</t>
  </si>
  <si>
    <t>Pillar Email is Expired</t>
  </si>
  <si>
    <t>Reply: Reach out in Sept 2025</t>
  </si>
  <si>
    <t>Anywr group</t>
  </si>
  <si>
    <t>Online Form</t>
  </si>
  <si>
    <t>Query asked on 12th Feb 2025</t>
  </si>
  <si>
    <t>https://cognizant.benefitsatwork.es/</t>
  </si>
  <si>
    <t>sheetal.singh8@cts…. / Bh#1.3</t>
  </si>
  <si>
    <t>Movies</t>
  </si>
  <si>
    <t>https://www.cinesa.es</t>
  </si>
  <si>
    <t>gmail / M@123</t>
  </si>
  <si>
    <t>MFs Sinha</t>
  </si>
  <si>
    <t>Franklin India Technology Fund Growth</t>
  </si>
  <si>
    <t>Nippon India Banking And Financial Services Fund-Growth</t>
  </si>
  <si>
    <t>Tata India Pharma And Healthcare Fund Regular Plan Growth</t>
  </si>
  <si>
    <t>via gmail</t>
  </si>
  <si>
    <t>https://mutualfundsinha.investwell.app/app/#/client/dashboard</t>
  </si>
  <si>
    <t>10 L investment</t>
  </si>
  <si>
    <t>Sinha MF Investment</t>
  </si>
  <si>
    <t>Sinha MFs (Kids)</t>
  </si>
  <si>
    <t>Check Excel "MFs" sheet</t>
  </si>
  <si>
    <t>Notes 2</t>
  </si>
  <si>
    <t>#Investment Bucket</t>
  </si>
  <si>
    <t>MFs</t>
  </si>
  <si>
    <t>Angel_Inv</t>
  </si>
  <si>
    <t>MoneyLend</t>
  </si>
  <si>
    <t>.</t>
  </si>
  <si>
    <t>Mine Santender</t>
  </si>
  <si>
    <t>https://www.pass4future.com/users/pdf</t>
  </si>
  <si>
    <t>Pass4Future</t>
  </si>
  <si>
    <t>Eur048 for AI102</t>
  </si>
  <si>
    <t>Emilina</t>
  </si>
  <si>
    <t>18th Feb 2025 | NAV=546| Unit= 550</t>
  </si>
  <si>
    <t>34879701</t>
  </si>
  <si>
    <t>18th Feb 2025 | NAV=514| Unit= 779</t>
  </si>
  <si>
    <t xml:space="preserve">13065603/18 </t>
  </si>
  <si>
    <t>18th Feb 2025 | NAV=28| Unit= 10722</t>
  </si>
  <si>
    <t>Kids| Mob| nominee correct</t>
  </si>
  <si>
    <t>DOT</t>
  </si>
  <si>
    <t>Polkadot</t>
  </si>
  <si>
    <t>FTM</t>
  </si>
  <si>
    <t>PEPE</t>
  </si>
  <si>
    <t>DOGE</t>
  </si>
  <si>
    <t>Dogecoin </t>
  </si>
  <si>
    <t>XRP (XRP)</t>
  </si>
  <si>
    <t>Added to Wallet</t>
  </si>
  <si>
    <t>Spain Mob 707</t>
  </si>
  <si>
    <t>My Santender Bank</t>
  </si>
  <si>
    <t>India 7011*40</t>
  </si>
  <si>
    <t>Unicaja</t>
  </si>
  <si>
    <t xml:space="preserve">29 Mar 2014 </t>
  </si>
  <si>
    <t>Wasted 1.5 Yr</t>
  </si>
  <si>
    <t>Project into NCLT</t>
  </si>
  <si>
    <t>All calc till this date</t>
  </si>
  <si>
    <t>pdmhomes@prabhushanti.com</t>
  </si>
  <si>
    <t>6.15 Lac with tax(New PDF)</t>
  </si>
  <si>
    <t>Super Area(Sq Ft)</t>
  </si>
  <si>
    <t xml:space="preserve">Base Rate </t>
  </si>
  <si>
    <t>Base Rate New</t>
  </si>
  <si>
    <t>Compensation Received @10%</t>
  </si>
  <si>
    <t>New base Rate @300 /sqft</t>
  </si>
  <si>
    <t>Withdraw Cash &gt; Coinbase Wallet &gt; to Bank / Paypal</t>
  </si>
  <si>
    <t>FY2025-26</t>
  </si>
  <si>
    <t>6 Mar 2025 Ack no: HDSE12383331 / Receipt: 12671016319813937</t>
  </si>
  <si>
    <t>disneyplus</t>
  </si>
  <si>
    <t>Disney plus</t>
  </si>
  <si>
    <t>Eur 6/month + Paypal A/c</t>
  </si>
  <si>
    <t>Santander IBAN</t>
  </si>
  <si>
    <t>Amazon Prime</t>
  </si>
  <si>
    <t>Refer Amazon Papi</t>
  </si>
  <si>
    <t>Eur 5/month + Santander CC 7711</t>
  </si>
  <si>
    <t>477393762526/0</t>
  </si>
  <si>
    <t>Added back by Bank</t>
  </si>
  <si>
    <t>44Lac</t>
  </si>
  <si>
    <t>Cronos</t>
  </si>
  <si>
    <t>CRO</t>
  </si>
  <si>
    <t>XRP</t>
  </si>
  <si>
    <t>Kaspa</t>
  </si>
  <si>
    <t>KAS</t>
  </si>
  <si>
    <t>Hedera</t>
  </si>
  <si>
    <t>HBAR</t>
  </si>
  <si>
    <t>Stellar</t>
  </si>
  <si>
    <t>XLM</t>
  </si>
  <si>
    <t>TRON</t>
  </si>
  <si>
    <t>TRX</t>
  </si>
  <si>
    <t>Fanton</t>
  </si>
  <si>
    <t>Algorand</t>
  </si>
  <si>
    <t>ALGO</t>
  </si>
  <si>
    <t>Data transfer</t>
  </si>
  <si>
    <t xml:space="preserve">Speed n efficiency, enterprise </t>
  </si>
  <si>
    <t>VET</t>
  </si>
  <si>
    <t>VeChain</t>
  </si>
  <si>
    <t>Supply chain mgmt</t>
  </si>
  <si>
    <t>Decentralised internet</t>
  </si>
  <si>
    <t>Fast, cross boder txn, banks</t>
  </si>
  <si>
    <t>crpto.com uses</t>
  </si>
  <si>
    <t>Santander, BoA, AmEx</t>
  </si>
  <si>
    <t>IBM, google, boeing</t>
  </si>
  <si>
    <t>Security, Sustainability, financial institutes, env concern</t>
  </si>
  <si>
    <t>long term</t>
  </si>
  <si>
    <t>high risk high reward, court case</t>
  </si>
  <si>
    <t>strong fundamental, very fast</t>
  </si>
  <si>
    <t>10k/sec</t>
  </si>
  <si>
    <t>Solana competitor</t>
  </si>
  <si>
    <t>XRP competitor</t>
  </si>
  <si>
    <t>C</t>
  </si>
  <si>
    <t>Elon</t>
  </si>
  <si>
    <t>SHIB</t>
  </si>
  <si>
    <t>Shiba Inu</t>
  </si>
  <si>
    <t>Pepe</t>
  </si>
  <si>
    <t>DogWifHat</t>
  </si>
  <si>
    <t>WIF</t>
  </si>
  <si>
    <t>Solana based</t>
  </si>
  <si>
    <t>Floki Inu</t>
  </si>
  <si>
    <t>FLOKI</t>
  </si>
  <si>
    <t>MELANIA</t>
  </si>
  <si>
    <t>TRUMP</t>
  </si>
  <si>
    <t>$MELANIA</t>
  </si>
  <si>
    <t>$TRUMP</t>
  </si>
  <si>
    <t>Speed</t>
  </si>
  <si>
    <t>Green</t>
  </si>
  <si>
    <t>Very Green</t>
  </si>
  <si>
    <t>Etherum</t>
  </si>
  <si>
    <t>Less Green</t>
  </si>
  <si>
    <t>Red</t>
  </si>
  <si>
    <t>Eth based</t>
  </si>
  <si>
    <t>#Best Cheap Coins</t>
  </si>
  <si>
    <t>#Best Meme Coins</t>
  </si>
  <si>
    <t>#Best Coins</t>
  </si>
  <si>
    <t>HBRAR</t>
  </si>
  <si>
    <t>Gaming, DeFi, Payments</t>
  </si>
  <si>
    <t>ChainLink</t>
  </si>
  <si>
    <t>LINK</t>
  </si>
  <si>
    <t>Gaming, Finanace</t>
  </si>
  <si>
    <t>Current Value Apr 2025</t>
  </si>
  <si>
    <t xml:space="preserve">Digital Nomad </t>
  </si>
  <si>
    <t>https://balcellsgroup.com/es/</t>
  </si>
  <si>
    <t>Balcells Group</t>
  </si>
  <si>
    <t>HQP</t>
  </si>
  <si>
    <t>Regular Work permit</t>
  </si>
  <si>
    <t>info@balcellsgroup.com | beatriz.lategui@balcellsgroup.com</t>
  </si>
  <si>
    <t>#VISA Types</t>
  </si>
  <si>
    <t>Remote worker, Company should be based out of Spain</t>
  </si>
  <si>
    <t>Age factor comes into picture</t>
  </si>
  <si>
    <t>#Spain Jobs</t>
  </si>
  <si>
    <t>One_Tech.xlsx</t>
  </si>
  <si>
    <t>26A@</t>
  </si>
  <si>
    <t>P@ddmmyy</t>
  </si>
  <si>
    <t>Dadu H 27 26 92 33 15 6</t>
  </si>
  <si>
    <t>https://accounts.coinbase.com/statements</t>
  </si>
  <si>
    <t>#Tax Spain</t>
  </si>
  <si>
    <t>Coin Statements</t>
  </si>
  <si>
    <t>9C7Rmkf5 / See..@2604</t>
  </si>
  <si>
    <t>Bharat@123 / Ka@123</t>
  </si>
  <si>
    <t>esterasesores@hotmail.com  Not working</t>
  </si>
  <si>
    <t>Whatsapp 663-315-285</t>
  </si>
  <si>
    <t>abogada@esterasesores.com</t>
  </si>
  <si>
    <t>#Mortgage Monthly</t>
  </si>
  <si>
    <t>Mortgage + Home Ins</t>
  </si>
  <si>
    <t>https://kanban.university/kuapps/#/user-profile/user/9668</t>
  </si>
  <si>
    <t>Kanban</t>
  </si>
  <si>
    <t>Gmail/M@123</t>
  </si>
  <si>
    <t>Cert: KSD + TKP</t>
  </si>
  <si>
    <t>Certification: AZ900, AI900, AI102</t>
  </si>
  <si>
    <t>Bh@23..</t>
  </si>
  <si>
    <t>Battu</t>
  </si>
  <si>
    <t>amazon.es | amazon.in</t>
  </si>
  <si>
    <t>Microsoft Account Victus HP Laptop</t>
  </si>
  <si>
    <t>Nov 2024 to till now</t>
  </si>
  <si>
    <t>Dec 2023 to Oct 2024</t>
  </si>
  <si>
    <t>Dec 2020 to Nov 2023</t>
  </si>
  <si>
    <t>Current address</t>
  </si>
  <si>
    <t>Calle de Torrelaguna 18, 7D, Madrid, 28027</t>
  </si>
  <si>
    <t>Electronics Engineering</t>
  </si>
  <si>
    <t>https://pravaraengg.org.in/</t>
  </si>
  <si>
    <t>CEPN, PREC</t>
  </si>
  <si>
    <t>Apr 2002 - May 2006</t>
  </si>
  <si>
    <t>07 Nov 2022 till now</t>
  </si>
  <si>
    <t>Manager QA Automation Lead</t>
  </si>
  <si>
    <t>+34-518 88 94 39</t>
  </si>
  <si>
    <t>9552560619 / +9120-48583399</t>
  </si>
  <si>
    <t>Category</t>
  </si>
  <si>
    <t>https://www.moneycontrol.com/mutual-funds/nav/franklin-india-technology-fund-growth/MKP004</t>
  </si>
  <si>
    <t>Invesco India Large &amp; Mid Cap Fund - Direct Plan - Growth</t>
  </si>
  <si>
    <t>https://www.moneycontrol.com/mutual-funds/nav/invesco-india-large-mid-cap-fund-direct-plan-growth/MLI560</t>
  </si>
  <si>
    <t>https://www.moneycontrol.com/mutual-funds/nav/icici-prudential-large-mid-cap-fund-direct-plan-growth/MPI1130</t>
  </si>
  <si>
    <t>ICICI Prudential Large &amp; Mid Cap Fund- Direct Plan - Growth</t>
  </si>
  <si>
    <t>MFs Dadu</t>
  </si>
  <si>
    <t>TODO For Dadu</t>
  </si>
  <si>
    <t>life ins seema</t>
  </si>
  <si>
    <t>actual</t>
  </si>
  <si>
    <t>life ins sheetal</t>
  </si>
  <si>
    <t>home insurance</t>
  </si>
  <si>
    <t>combined</t>
  </si>
  <si>
    <t>actual deducted bank</t>
  </si>
  <si>
    <t>Mortgage</t>
  </si>
  <si>
    <t>My Life Insurance + Home Insurance</t>
  </si>
  <si>
    <t>Kuku Life Insurance Only</t>
  </si>
  <si>
    <t>https://www.wayfieldag.com/</t>
  </si>
  <si>
    <t>HireRight Verification</t>
  </si>
  <si>
    <t>CTS for USBank/Elavon UK</t>
  </si>
  <si>
    <t>Request ID GA-063025-394FV</t>
  </si>
  <si>
    <t>9th July 2025</t>
  </si>
  <si>
    <t xml:space="preserve">For CTS joining </t>
  </si>
  <si>
    <t>Oct-Nov 2022</t>
  </si>
  <si>
    <t>+34-910 31 66 30</t>
  </si>
  <si>
    <t xml:space="preserve">Filed Tax for 2021 </t>
  </si>
  <si>
    <t>info@acadvisors.es, https://www.acadvisors.es/</t>
  </si>
  <si>
    <t>AC Advisors</t>
  </si>
  <si>
    <t>#Active Subscription</t>
  </si>
  <si>
    <t>Copilot</t>
  </si>
  <si>
    <t>Euro/Month</t>
  </si>
  <si>
    <t>15 Aug 2015</t>
  </si>
  <si>
    <t>End Date</t>
  </si>
  <si>
    <t>Start Date</t>
  </si>
  <si>
    <t>Disney</t>
  </si>
  <si>
    <t>Paypal + Sant Bank A/c</t>
  </si>
  <si>
    <t>On going</t>
  </si>
  <si>
    <t>71 / year</t>
  </si>
  <si>
    <t>30 May 2026</t>
  </si>
  <si>
    <t>Auto Renew</t>
  </si>
  <si>
    <t>Zety Resume</t>
  </si>
  <si>
    <t>31 May 2025</t>
  </si>
  <si>
    <t>estefania_jimenez@epam.com, marta_loma@epam.com, https://www.linkedin.com/in/hrdmoskalevsky/</t>
  </si>
  <si>
    <t>For Kaavya</t>
  </si>
  <si>
    <t>A/C No:</t>
  </si>
  <si>
    <t>2 Folio: Personla + via Sinha</t>
  </si>
  <si>
    <t>Mandatory Garjia Temple Ramnagar: Re-Visit by me or on my behalf. My wish has been completed by Mata rani to have a boy girl combination for bhaiya and mine. I need to open the ribbon which I closed there).</t>
  </si>
  <si>
    <t xml:space="preserve">SBI Sheetal0123 </t>
  </si>
  <si>
    <t>login not working</t>
  </si>
  <si>
    <t>Pr@26******</t>
  </si>
  <si>
    <t>P+ kuku</t>
  </si>
  <si>
    <t>"26a@</t>
  </si>
  <si>
    <t>Bh….@....5</t>
  </si>
  <si>
    <t>Being You Channel</t>
  </si>
  <si>
    <t>No Mobile/ Sec Email: Papi</t>
  </si>
  <si>
    <t>myschooldayzz@gmail.com</t>
  </si>
  <si>
    <t>No Mobile/ Sec Email: Seema</t>
  </si>
  <si>
    <t>MySchoolDayzz</t>
  </si>
  <si>
    <t>risaloca@gmail.com</t>
  </si>
  <si>
    <t>See**@ddmmyyyy</t>
  </si>
  <si>
    <t>+34-611465145 / recovery email  sheetal0123@gmail.com</t>
  </si>
  <si>
    <t>https://www.youtube.com/@RisaLoca108</t>
  </si>
  <si>
    <t>@RisaLoca108</t>
  </si>
  <si>
    <t>Risa Loca</t>
  </si>
  <si>
    <t>delhi, 2009, indus tower, wagonr, samsung</t>
  </si>
  <si>
    <t>gmail / 25J**@25***Ka****</t>
  </si>
  <si>
    <t>Talk in Oct 2025</t>
  </si>
  <si>
    <t>emilina.bastidas@anywr-group.com/ astrid.pezina@anywr-group.com | +34 910 76 20 62</t>
  </si>
  <si>
    <t>https://www.rrhhdigital.com/directorio/anywr-spain/</t>
  </si>
  <si>
    <t>Address:</t>
  </si>
  <si>
    <t>#Notary 1 - Outside Madrid (Jorge Laura Notary) - Rejected</t>
  </si>
  <si>
    <t>Niyo</t>
  </si>
  <si>
    <t>7011…. / 25****</t>
  </si>
  <si>
    <t>mobile/ddmmyy</t>
  </si>
  <si>
    <t>USDC</t>
  </si>
  <si>
    <t>US Dollar</t>
  </si>
  <si>
    <t>DAI</t>
  </si>
  <si>
    <t>US Dollar ETH</t>
  </si>
  <si>
    <t>PAXG</t>
  </si>
  <si>
    <t>Invested Amt Redeemed</t>
  </si>
  <si>
    <t>SOLANA</t>
  </si>
  <si>
    <t>Nov 2024</t>
  </si>
  <si>
    <t>Oct 2029</t>
  </si>
  <si>
    <t>#Home Taxes</t>
  </si>
  <si>
    <t>IBI Property Tax</t>
  </si>
  <si>
    <t>TGR Waste Management</t>
  </si>
  <si>
    <t>Community Fees</t>
  </si>
  <si>
    <t>Auto Deduct by Building Admin / Nov + Dec</t>
  </si>
  <si>
    <t>2024</t>
  </si>
  <si>
    <t>2025</t>
  </si>
  <si>
    <t>Mortgage+Home Ins</t>
  </si>
  <si>
    <t>Final EMI</t>
  </si>
  <si>
    <t>Identifier: 21651421</t>
  </si>
  <si>
    <t>Identificador: 22025171</t>
  </si>
  <si>
    <t>20 Sept 2025/no-reply@madrid.es / Sub: Comunicación Electrónica enviada</t>
  </si>
  <si>
    <t>19 Sept 2025/no-reply@madrid.es / Sub:Notificación Electrónica enviada.</t>
  </si>
  <si>
    <t>650 + 550 family</t>
  </si>
  <si>
    <t>Barcelona Office</t>
  </si>
  <si>
    <t>500 / person</t>
  </si>
  <si>
    <t>danay.medina@asociacioncadelpa.org</t>
  </si>
  <si>
    <t>CA Delpa</t>
  </si>
  <si>
    <t>https://cadelpa.org</t>
  </si>
  <si>
    <t>cmasharma147 / M@123</t>
  </si>
  <si>
    <t>Old Pwd: OXE2Q4AT</t>
  </si>
  <si>
    <t>SWT47kc48#</t>
  </si>
  <si>
    <t>https://edistrict.delhigovt.nic.in/    |   Print &gt;  14 digit reg number = 00113005512388</t>
  </si>
  <si>
    <t>https://www.blsinternational.com/india/spain/police-clearance-certificate.php</t>
  </si>
  <si>
    <t>VFS Spain (Old)</t>
  </si>
  <si>
    <t>BLS International New</t>
  </si>
  <si>
    <t>Overseas PCC</t>
  </si>
  <si>
    <t>https://mportal.passportindia.gov.in/mission/</t>
  </si>
  <si>
    <t>P@ddmm</t>
  </si>
  <si>
    <t>latest pwd shd work in all abv websites</t>
  </si>
  <si>
    <t>PCC Overseas</t>
  </si>
  <si>
    <t>SEEMA2688</t>
  </si>
  <si>
    <t>M@1234</t>
  </si>
  <si>
    <t>Working</t>
  </si>
  <si>
    <t>Not Working</t>
  </si>
  <si>
    <t>seema emailid</t>
  </si>
  <si>
    <t>Naturgy</t>
  </si>
  <si>
    <t xml:space="preserve">Seema NIE </t>
  </si>
  <si>
    <t>https://areaclientes.comercializadoraregulada.es/ovh-web/Login.gas?language=es</t>
  </si>
  <si>
    <t>Papi email / kuku mobile / IBAN: joint account / Reference number:1206392294 / Regulated Tariff Plan</t>
  </si>
  <si>
    <t>current</t>
  </si>
  <si>
    <t>Adhar</t>
  </si>
  <si>
    <t>Email</t>
  </si>
  <si>
    <t>E24777549</t>
  </si>
  <si>
    <t>E24777422</t>
  </si>
  <si>
    <t>E24777424</t>
  </si>
  <si>
    <t>E24777423</t>
  </si>
  <si>
    <t>8th Sept 2024</t>
  </si>
  <si>
    <t>Phone</t>
  </si>
  <si>
    <t>+34-611465145</t>
  </si>
  <si>
    <t>+91-7011448640 (New Voda)</t>
  </si>
  <si>
    <t>+91-9911872805 (Old Jio)</t>
  </si>
  <si>
    <t>Dadi</t>
  </si>
  <si>
    <t>+91-9899855865</t>
  </si>
  <si>
    <t>+91-9911269753</t>
  </si>
  <si>
    <t>RZ-43, Block A, Gali No 6, New Roshan Vihar, Phase – 2, Najafgarh, Delhi, India. PIN: 110043</t>
  </si>
  <si>
    <r>
      <rPr>
        <b/>
        <sz val="11"/>
        <color theme="1"/>
        <rFont val="Abadi"/>
        <family val="2"/>
      </rPr>
      <t>PCC</t>
    </r>
    <r>
      <rPr>
        <sz val="11"/>
        <color theme="1"/>
        <rFont val="Abadi"/>
        <family val="2"/>
      </rPr>
      <t>:  District: Dwarka | Police Station: Chhawla</t>
    </r>
  </si>
  <si>
    <t>1997 to 2006</t>
  </si>
  <si>
    <t>2007 to Jun 2017</t>
  </si>
  <si>
    <t>9 Yr</t>
  </si>
  <si>
    <t>10 Yr</t>
  </si>
  <si>
    <t>3.5 Yr</t>
  </si>
  <si>
    <t>3 Yr</t>
  </si>
  <si>
    <t>1990 to 1996</t>
  </si>
  <si>
    <t>6 Yr</t>
  </si>
  <si>
    <t>Class 1 to 6</t>
  </si>
  <si>
    <t>Class 7 to 12 + College</t>
  </si>
  <si>
    <t>TIE Card/ Medical Card</t>
  </si>
  <si>
    <t>Current card</t>
  </si>
  <si>
    <t>E24005793</t>
  </si>
  <si>
    <t>E24005795</t>
  </si>
  <si>
    <t>E24005794</t>
  </si>
  <si>
    <t>E24005799</t>
  </si>
  <si>
    <t>#Seema Santender IBAN:      ES36 0049 1633 1725 1004 2022</t>
  </si>
  <si>
    <t>#Mortgage Santender IBAN:   ES68 0049 4698 1822 1643 7345   | SWIFT BSCHESMM</t>
  </si>
  <si>
    <t>#Sheetal Singh BBVA IBAN:   ES61 0182 3089 3002 0174 0323   | BIC: BBVAESMMXXX</t>
  </si>
  <si>
    <t>#Sheetal Satender  Salary IBAN : ES18 0049 3282 0821 1415 3874</t>
  </si>
  <si>
    <t>#School</t>
  </si>
  <si>
    <t>Colegio Montpellier https://colegiomontpellier.es/</t>
  </si>
  <si>
    <t>C/ Virgen del Val, 7, 28027 - Madrid</t>
  </si>
  <si>
    <t>Maria Jesus / School Director</t>
  </si>
  <si>
    <t>aida.martin@colegiomontpellier.es        Head for Primary Classes (Academy)</t>
  </si>
  <si>
    <t>montpellier@colegiomontpellier.es</t>
  </si>
  <si>
    <t>mariaemma.espinosa@colegiomontpellier.es  Emmy / For School Dress</t>
  </si>
  <si>
    <t>mar@colegiomontpellier.es</t>
  </si>
  <si>
    <t>montpellier.educamos@colegiomontpellier.es   Educamos</t>
  </si>
  <si>
    <t>#Admin</t>
  </si>
  <si>
    <t>administracion@colegiomontpellier.es     For Fees related</t>
  </si>
  <si>
    <t xml:space="preserve">secretaria@colegiomontpellier.com  </t>
  </si>
  <si>
    <t xml:space="preserve"> For School related documents</t>
  </si>
  <si>
    <t>#Class teacher</t>
  </si>
  <si>
    <t>6A   marina.jimenez@colegiomontpellier.es</t>
  </si>
  <si>
    <t>3B   javier.gonzalez@colegiomontpellier.es</t>
  </si>
  <si>
    <t>old</t>
  </si>
  <si>
    <t>david.camara@colegiomontpellier.es</t>
  </si>
  <si>
    <t>lucia.rejas@colegiomontpellier.es</t>
  </si>
  <si>
    <t>#kids email id</t>
  </si>
  <si>
    <t>kaavya.khandelwal@alumnosmontpellier.es</t>
  </si>
  <si>
    <t>prithvi.khandelwal@alumnosmontpellier.es</t>
  </si>
  <si>
    <t>CEKPS1177J</t>
  </si>
  <si>
    <t>CBEPS5188J</t>
  </si>
  <si>
    <t>https://federado.ffmadrid.es/fnfg/</t>
  </si>
  <si>
    <t>Y8077830Z / Sanpascual2025</t>
  </si>
  <si>
    <t>Football</t>
  </si>
  <si>
    <t>sanpascual2025</t>
  </si>
  <si>
    <t>papi email id</t>
  </si>
  <si>
    <t>Signup / Forget Password in case login not working</t>
  </si>
  <si>
    <t>https://mportal.passportindia.gov.in/gpsp/AuthNavigation/Login</t>
  </si>
  <si>
    <t>Cigna</t>
  </si>
  <si>
    <t>sheetal….@cts.com / s..0123@gmail.com</t>
  </si>
  <si>
    <t>K2501</t>
  </si>
  <si>
    <t>https://clientes.cigna.es/cp/login</t>
  </si>
  <si>
    <t>Ka@papi_ddmmyyyy</t>
  </si>
  <si>
    <t>seema loved name</t>
  </si>
  <si>
    <t>#AWS</t>
  </si>
  <si>
    <t>Bh@ddmm</t>
  </si>
  <si>
    <t>6 Month free Plan starting 24 Dec 2025</t>
  </si>
  <si>
    <t>1st Jan 2026</t>
  </si>
  <si>
    <t>Spain Banks All</t>
  </si>
  <si>
    <t>A: Total INR</t>
  </si>
  <si>
    <t>B: Total INR</t>
  </si>
  <si>
    <t>28 Lac</t>
  </si>
  <si>
    <t>30 Lac</t>
  </si>
  <si>
    <t>1.05 Cr</t>
  </si>
  <si>
    <t>A + B</t>
  </si>
  <si>
    <t># Total INR</t>
  </si>
  <si>
    <t>1.02 Cr</t>
  </si>
  <si>
    <t>1.41 Cr</t>
  </si>
  <si>
    <t>1.90 Cr</t>
  </si>
  <si>
    <t>Appx Earning/Year</t>
  </si>
  <si>
    <t>EUR &gt; INR</t>
  </si>
  <si>
    <t>Sensex = 82K</t>
  </si>
  <si>
    <t>Zerodha+SmallCase</t>
  </si>
  <si>
    <t>https://unifiedportal-mem.epfindia.gov.in/memberinterface/</t>
  </si>
  <si>
    <t>son</t>
  </si>
  <si>
    <t>11.3 L</t>
  </si>
  <si>
    <t>as of Jan 2026</t>
  </si>
  <si>
    <t>For KIDS</t>
  </si>
  <si>
    <t>Jan 2026</t>
  </si>
  <si>
    <t>nokia, wagonr, mataro, ambala, 2006, malaga</t>
  </si>
  <si>
    <t>Funds 01Jan2026</t>
  </si>
  <si>
    <t>Total MF Value</t>
  </si>
  <si>
    <t>MFCentral Mine (Including Sinha)</t>
  </si>
  <si>
    <t>MFCentral Kuku</t>
  </si>
  <si>
    <t>1.26 Cr</t>
  </si>
  <si>
    <t>1.22 Cr</t>
  </si>
  <si>
    <t>1.11 Cr</t>
  </si>
  <si>
    <t>2.32 Cr</t>
  </si>
  <si>
    <t>+42 Lac</t>
  </si>
  <si>
    <t>Cuenta Ajena</t>
  </si>
  <si>
    <t>Cuenta Ajena y cuenta Propia</t>
  </si>
  <si>
    <t>PCC India / General Legal Query</t>
  </si>
  <si>
    <t xml:space="preserve">economistlegaladvisor@gmail.com |  contact@gestoriaverma.com </t>
  </si>
  <si>
    <t>+34-641552455</t>
  </si>
  <si>
    <t>Coinbase Ireland Limited</t>
  </si>
  <si>
    <t>DE45202208000051675916</t>
  </si>
  <si>
    <t>SXPYDEHH</t>
  </si>
  <si>
    <t>Buy Vs Rent</t>
  </si>
  <si>
    <t>invest in Gold n Silver 10L</t>
  </si>
  <si>
    <t>Gold</t>
  </si>
  <si>
    <t>Silver</t>
  </si>
  <si>
    <t>Copper</t>
  </si>
  <si>
    <t>Nippon India Silver ETF (SILVERBEES)</t>
  </si>
  <si>
    <r>
      <t>ICICI Prudential Silver ETF</t>
    </r>
    <r>
      <rPr>
        <sz val="12"/>
        <color rgb="FF222222"/>
        <rFont val="Arial"/>
        <family val="2"/>
      </rPr>
      <t> </t>
    </r>
  </si>
  <si>
    <t>Mirae Asset Nifty Metal ETF (METAL)</t>
  </si>
  <si>
    <t>ICICI Prudential Nifty Metal ETF</t>
  </si>
  <si>
    <r>
      <t>Lithium</t>
    </r>
    <r>
      <rPr>
        <sz val="12"/>
        <color rgb="FF222222"/>
        <rFont val="Arial"/>
        <family val="2"/>
      </rPr>
      <t> </t>
    </r>
  </si>
  <si>
    <r>
      <t>Mirae Asset Nifty Metal ETF (METAL)</t>
    </r>
    <r>
      <rPr>
        <sz val="12"/>
        <color rgb="FF222222"/>
        <rFont val="Arial"/>
        <family val="2"/>
      </rPr>
      <t> </t>
    </r>
  </si>
  <si>
    <t>Global X Lithium &amp; Battery Tech ETF (LIT)</t>
  </si>
  <si>
    <r>
      <t>Nippon India ETF Gold BeES (GOLDBEES)</t>
    </r>
    <r>
      <rPr>
        <sz val="12"/>
        <color rgb="FF222222"/>
        <rFont val="Arial"/>
        <family val="2"/>
      </rPr>
      <t> </t>
    </r>
  </si>
  <si>
    <t>ICICI Prudential Gold ETF</t>
  </si>
  <si>
    <t>METALS</t>
  </si>
  <si>
    <t>via gmail, see Papi section</t>
  </si>
  <si>
    <t>Stocks</t>
  </si>
  <si>
    <t>Metals</t>
  </si>
  <si>
    <t>Govt PF</t>
  </si>
  <si>
    <t>Bank Acc</t>
  </si>
  <si>
    <t>Property</t>
  </si>
  <si>
    <t>Details (Jan 2026)</t>
  </si>
  <si>
    <t xml:space="preserve">PAX Gold  </t>
  </si>
  <si>
    <t>KAG</t>
  </si>
  <si>
    <t>XAGX</t>
  </si>
  <si>
    <t>GRAMS</t>
  </si>
  <si>
    <t>SLVon</t>
  </si>
  <si>
    <t>ETF</t>
  </si>
  <si>
    <t>HEDERA</t>
  </si>
  <si>
    <t>PAX Gold  PAXG</t>
  </si>
  <si>
    <t>ETH Back/Gold in London</t>
  </si>
  <si>
    <t>GOLD</t>
  </si>
  <si>
    <t>SILVER</t>
  </si>
  <si>
    <t>Not in Coinbase</t>
  </si>
  <si>
    <t>#Metals Coins</t>
  </si>
  <si>
    <t>#Currency Coins</t>
  </si>
  <si>
    <t>EURC</t>
  </si>
  <si>
    <t>Tosca Personal</t>
  </si>
  <si>
    <t>Tosca CTS</t>
  </si>
  <si>
    <t>s.s8@c…</t>
  </si>
  <si>
    <t xml:space="preserve">Done: Tricentis Tosca Product Consultant Certification  / Expiration: 27 Sept 2027 </t>
  </si>
  <si>
    <t>Inv.Rate(EUR)</t>
  </si>
  <si>
    <t>Txn Date</t>
  </si>
  <si>
    <t>Redeem</t>
  </si>
  <si>
    <t>Redeem Rate</t>
  </si>
  <si>
    <t>REDEEMED ALL COINS</t>
  </si>
  <si>
    <t>To check Mobile, Email, PAN-Adhar Linking Status</t>
  </si>
  <si>
    <t>17 Feb 2026: New KYC with New Home Addr (7D)</t>
  </si>
  <si>
    <t>Gmail/K@DDMM</t>
  </si>
  <si>
    <t>477393762526</t>
  </si>
  <si>
    <t>Under diff Folio than previous Nippon</t>
  </si>
  <si>
    <t>Redeemed 5th Feb 2026</t>
  </si>
  <si>
    <t>For KIDS | Sectorial/IT</t>
  </si>
  <si>
    <t>For KIDS | Sectorial/Banking</t>
  </si>
  <si>
    <t>For KIDS | Sectorial/Pharma</t>
  </si>
  <si>
    <t>Papi</t>
  </si>
  <si>
    <t>chk below</t>
  </si>
  <si>
    <t>Investment INR</t>
  </si>
  <si>
    <t>ICICI Pru Gold ETF Reg Growth FoF</t>
  </si>
  <si>
    <t>https://www.google.com/finance/quote/ICIC_PRU_GOLD_ZUMJC:MUTF_IN?window=1M</t>
  </si>
  <si>
    <t>Nippon India Silver ETF Fund of Fund (FOF) Direct Growth</t>
  </si>
  <si>
    <t>NOT VISIBLE IN ICICIPRU</t>
  </si>
  <si>
    <t>https://www.google.com/finance/quote/NIPP_INDI_SILV_ACWJQM:MUTF_IN?window=1M</t>
  </si>
  <si>
    <t>20th Feb 2026 | NAV=47.57| Unit= 8408  | Gold @ INR 1.54 Lac /10gm</t>
  </si>
  <si>
    <t>19th Feb 2026 | NAV=36.63| Unit= 16377  | Silver @ INR 2.44 Lac/Kg</t>
  </si>
  <si>
    <t>https://www.zerodhafundhouse.com/live-gold-price</t>
  </si>
  <si>
    <t>https://www.zerodhafundhouse.com/live-silver-price</t>
  </si>
  <si>
    <t>43209756/77</t>
  </si>
  <si>
    <t>https://academy.uipath.com/achievements</t>
  </si>
  <si>
    <t>code on gmail</t>
  </si>
  <si>
    <t>Azure Portal</t>
  </si>
  <si>
    <t>25J..@</t>
  </si>
  <si>
    <t>Working Mar 2026</t>
  </si>
  <si>
    <t xml:space="preserve">Azure DevOps </t>
  </si>
  <si>
    <t>Git Linked with Azure</t>
  </si>
  <si>
    <t>via Gmail</t>
  </si>
  <si>
    <t>Certifications</t>
  </si>
  <si>
    <t>UiPath EPAM</t>
  </si>
  <si>
    <t>UiPath Gmail</t>
  </si>
  <si>
    <t>https://partnerportal.uipath.com/s/</t>
  </si>
  <si>
    <t>sheetal.singh8@cognizant.com.upc</t>
  </si>
  <si>
    <t>UiPath CTS Partner Login</t>
  </si>
  <si>
    <t xml:space="preserve">https://academy.uipath.com/     </t>
  </si>
  <si>
    <t>Go to PARTNER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</si>
</sst>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4009]0%"/>
    <numFmt numFmtId="165" formatCode="[$-4009]#,##0"/>
    <numFmt numFmtId="166" formatCode="d&quot; &quot;mmm&quot; &quot;yy"/>
    <numFmt numFmtId="167" formatCode="[$-4009]dd/mm/yyyy"/>
    <numFmt numFmtId="168" formatCode="[$-4009]General"/>
    <numFmt numFmtId="169" formatCode="[$Rs.-4009]#,##0.00;[Red]&quot;-&quot;[$Rs.-4009]#,##0.00"/>
    <numFmt numFmtId="170" formatCode="[$-4009]0.00%"/>
    <numFmt numFmtId="171" formatCode="[$-4009]d&quot; &quot;mmm&quot; &quot;yy"/>
    <numFmt numFmtId="172" formatCode="[$-409]mmm\-yy;@"/>
    <numFmt numFmtId="173" formatCode="0.0%"/>
    <numFmt numFmtId="174" formatCode="0.0"/>
    <numFmt numFmtId="175" formatCode="#,##0;[Red]#,##0"/>
    <numFmt numFmtId="176" formatCode="[$₹-4009]\ #,##0"/>
  </numFmts>
  <fonts count="135">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1"/>
    </font>
    <font>
      <u/>
      <sz val="11"/>
      <color rgb="FF0000FF"/>
      <name val="Calibri1"/>
    </font>
    <font>
      <b/>
      <i/>
      <sz val="16"/>
      <color theme="1"/>
      <name val="Arial"/>
      <family val="2"/>
    </font>
    <font>
      <b/>
      <i/>
      <u/>
      <sz val="11"/>
      <color theme="1"/>
      <name val="Arial"/>
      <family val="2"/>
    </font>
    <font>
      <b/>
      <sz val="8"/>
      <color rgb="FF000000"/>
      <name val="Calibri1"/>
    </font>
    <font>
      <sz val="8"/>
      <color rgb="FF000000"/>
      <name val="Calibri1"/>
    </font>
    <font>
      <b/>
      <sz val="9"/>
      <color rgb="FF000000"/>
      <name val="Calibri1"/>
    </font>
    <font>
      <b/>
      <sz val="11"/>
      <color rgb="FF000000"/>
      <name val="Calibri1"/>
    </font>
    <font>
      <sz val="9"/>
      <color rgb="FF000000"/>
      <name val="Calibri1"/>
    </font>
    <font>
      <sz val="8"/>
      <color rgb="FF0E406F"/>
      <name val="Verdana"/>
      <family val="2"/>
    </font>
    <font>
      <b/>
      <sz val="8"/>
      <color rgb="FF0E406F"/>
      <name val="Verdana"/>
      <family val="2"/>
    </font>
    <font>
      <b/>
      <sz val="8"/>
      <color theme="1"/>
      <name val="Verdana"/>
      <family val="2"/>
    </font>
    <font>
      <sz val="8"/>
      <color theme="1"/>
      <name val="Verdana"/>
      <family val="2"/>
    </font>
    <font>
      <b/>
      <sz val="8"/>
      <color theme="5" tint="-0.249977111117893"/>
      <name val="Verdana"/>
      <family val="2"/>
    </font>
    <font>
      <i/>
      <sz val="8"/>
      <color rgb="FF0E406F"/>
      <name val="Verdana"/>
      <family val="2"/>
    </font>
    <font>
      <b/>
      <sz val="8"/>
      <color theme="9" tint="-0.499984740745262"/>
      <name val="Verdana"/>
      <family val="2"/>
    </font>
    <font>
      <b/>
      <sz val="8"/>
      <color rgb="FFFF0000"/>
      <name val="Verdana"/>
      <family val="2"/>
    </font>
    <font>
      <vertAlign val="superscript"/>
      <sz val="7.5"/>
      <color rgb="FF1F497D"/>
      <name val="Times New Roman"/>
      <family val="1"/>
    </font>
    <font>
      <sz val="11"/>
      <color rgb="FF1F497D"/>
      <name val="Times New Roman"/>
      <family val="1"/>
    </font>
    <font>
      <sz val="8"/>
      <color rgb="FF000000"/>
      <name val="Verdana"/>
      <family val="2"/>
    </font>
    <font>
      <b/>
      <sz val="8"/>
      <color rgb="FF000000"/>
      <name val="Verdana"/>
      <family val="2"/>
    </font>
    <font>
      <sz val="8"/>
      <color rgb="FFFF0000"/>
      <name val="Verdana"/>
      <family val="2"/>
    </font>
    <font>
      <u/>
      <sz val="11"/>
      <color theme="10"/>
      <name val="Arial"/>
      <family val="2"/>
    </font>
    <font>
      <b/>
      <sz val="11"/>
      <color theme="1"/>
      <name val="Calibri"/>
      <family val="2"/>
      <scheme val="minor"/>
    </font>
    <font>
      <b/>
      <sz val="8"/>
      <color rgb="FF00B050"/>
      <name val="Verdana"/>
      <family val="2"/>
    </font>
    <font>
      <b/>
      <sz val="11"/>
      <color theme="0"/>
      <name val="Calibri"/>
      <family val="2"/>
      <scheme val="minor"/>
    </font>
    <font>
      <sz val="11"/>
      <color theme="1"/>
      <name val="Calibri Light"/>
      <family val="2"/>
      <scheme val="major"/>
    </font>
    <font>
      <b/>
      <sz val="11"/>
      <color rgb="FF000000"/>
      <name val="Calibri"/>
      <family val="2"/>
    </font>
    <font>
      <sz val="11"/>
      <color rgb="FF000000"/>
      <name val="Calibri"/>
      <family val="2"/>
    </font>
    <font>
      <sz val="11"/>
      <color theme="1"/>
      <name val="Abadi"/>
      <family val="2"/>
    </font>
    <font>
      <b/>
      <sz val="11"/>
      <color theme="1"/>
      <name val="Abadi"/>
      <family val="2"/>
    </font>
    <font>
      <b/>
      <sz val="20"/>
      <color theme="1"/>
      <name val="Abadi"/>
      <family val="2"/>
    </font>
    <font>
      <b/>
      <sz val="20"/>
      <color theme="1"/>
      <name val="Arial"/>
      <family val="2"/>
    </font>
    <font>
      <b/>
      <sz val="12"/>
      <color theme="1"/>
      <name val="Arial"/>
      <family val="2"/>
    </font>
    <font>
      <sz val="12"/>
      <color rgb="FF000000"/>
      <name val="Abadi"/>
      <family val="2"/>
    </font>
    <font>
      <b/>
      <sz val="12"/>
      <color rgb="FF000000"/>
      <name val="Abadi"/>
      <family val="2"/>
    </font>
    <font>
      <b/>
      <sz val="11"/>
      <color rgb="FF0E406F"/>
      <name val="Verdana"/>
      <family val="2"/>
    </font>
    <font>
      <b/>
      <sz val="11"/>
      <color theme="1"/>
      <name val="Arial"/>
      <family val="2"/>
    </font>
    <font>
      <b/>
      <sz val="8"/>
      <color rgb="FFFF0000"/>
      <name val="Calibri1"/>
    </font>
    <font>
      <sz val="12"/>
      <color theme="1"/>
      <name val="Calibri"/>
      <family val="2"/>
    </font>
    <font>
      <sz val="12"/>
      <color rgb="FF333333"/>
      <name val="Arial"/>
      <family val="2"/>
    </font>
    <font>
      <b/>
      <sz val="12"/>
      <color theme="1"/>
      <name val="Calibri"/>
      <family val="2"/>
      <scheme val="minor"/>
    </font>
    <font>
      <b/>
      <sz val="11"/>
      <color theme="1"/>
      <name val="Calibri"/>
      <family val="2"/>
    </font>
    <font>
      <sz val="11"/>
      <color theme="1"/>
      <name val="Calibri"/>
      <family val="2"/>
    </font>
    <font>
      <u/>
      <sz val="11"/>
      <color theme="10"/>
      <name val="Calibri"/>
      <family val="2"/>
    </font>
    <font>
      <sz val="12"/>
      <color rgb="FF222222"/>
      <name val="Calibri"/>
      <family val="2"/>
    </font>
    <font>
      <sz val="11"/>
      <color theme="1"/>
      <name val="Aptos Mono"/>
      <family val="3"/>
    </font>
    <font>
      <b/>
      <sz val="11"/>
      <color theme="1"/>
      <name val="Aptos Mono"/>
      <family val="3"/>
    </font>
    <font>
      <i/>
      <u/>
      <sz val="11"/>
      <color theme="1"/>
      <name val="Calibri"/>
      <family val="2"/>
      <scheme val="minor"/>
    </font>
    <font>
      <sz val="12"/>
      <color theme="1"/>
      <name val="Arial"/>
      <family val="2"/>
    </font>
    <font>
      <b/>
      <sz val="12"/>
      <color rgb="FF000000"/>
      <name val="Calibri1"/>
    </font>
    <font>
      <sz val="11"/>
      <color rgb="FF000000"/>
      <name val="Calibri"/>
      <family val="2"/>
      <scheme val="minor"/>
    </font>
    <font>
      <b/>
      <sz val="11"/>
      <color rgb="FF000000"/>
      <name val="Calibri"/>
      <family val="2"/>
      <scheme val="minor"/>
    </font>
    <font>
      <b/>
      <sz val="14"/>
      <color theme="1"/>
      <name val="Calibri"/>
      <family val="2"/>
      <scheme val="minor"/>
    </font>
    <font>
      <sz val="12"/>
      <color rgb="FF33DBB3"/>
      <name val="Montserrat-Medium"/>
    </font>
    <font>
      <b/>
      <sz val="16"/>
      <color theme="1"/>
      <name val="Aptos Mono"/>
      <family val="3"/>
    </font>
    <font>
      <b/>
      <sz val="12"/>
      <color theme="1"/>
      <name val="Calibri"/>
      <family val="2"/>
    </font>
    <font>
      <sz val="14"/>
      <color theme="1"/>
      <name val="Calibri"/>
      <family val="2"/>
    </font>
    <font>
      <b/>
      <sz val="14"/>
      <color theme="1"/>
      <name val="Calibri"/>
      <family val="2"/>
    </font>
    <font>
      <vertAlign val="superscript"/>
      <sz val="11"/>
      <color theme="1"/>
      <name val="Calibri"/>
      <family val="2"/>
    </font>
    <font>
      <sz val="12"/>
      <color rgb="FF000000"/>
      <name val="Calibri"/>
      <family val="2"/>
    </font>
    <font>
      <b/>
      <sz val="16"/>
      <color theme="1"/>
      <name val="Calibri"/>
      <family val="2"/>
      <scheme val="minor"/>
    </font>
    <font>
      <sz val="10"/>
      <color theme="1"/>
      <name val="Arial"/>
      <family val="2"/>
    </font>
    <font>
      <sz val="10"/>
      <color theme="1"/>
      <name val="Aptos Mono"/>
      <family val="3"/>
    </font>
    <font>
      <b/>
      <sz val="10"/>
      <color theme="1"/>
      <name val="Aptos Mono"/>
      <family val="3"/>
    </font>
    <font>
      <sz val="12"/>
      <color theme="1"/>
      <name val="Aptos Black"/>
      <family val="2"/>
    </font>
    <font>
      <b/>
      <sz val="12"/>
      <color theme="1"/>
      <name val="Aptos Mono"/>
      <family val="3"/>
    </font>
    <font>
      <b/>
      <sz val="14"/>
      <color theme="1"/>
      <name val="Aptos Mono"/>
      <family val="3"/>
    </font>
    <font>
      <sz val="12"/>
      <color rgb="FF000000"/>
      <name val="Calibri1"/>
    </font>
    <font>
      <b/>
      <sz val="11"/>
      <color rgb="FF242424"/>
      <name val="Segoe UI"/>
      <family val="2"/>
    </font>
    <font>
      <b/>
      <sz val="12"/>
      <color rgb="FF000000"/>
      <name val="Calibri"/>
      <family val="2"/>
    </font>
    <font>
      <sz val="12"/>
      <color rgb="FF5B616E"/>
      <name val="Segoe UI"/>
      <family val="2"/>
    </font>
    <font>
      <sz val="11"/>
      <color rgb="FF000000"/>
      <name val="Abadi"/>
      <family val="2"/>
    </font>
    <font>
      <sz val="11"/>
      <color rgb="FF000000"/>
      <name val="Arial"/>
      <family val="2"/>
    </font>
    <font>
      <b/>
      <sz val="12"/>
      <color theme="1"/>
      <name val="Abadi"/>
      <family val="2"/>
    </font>
    <font>
      <b/>
      <sz val="18"/>
      <color theme="1"/>
      <name val="Aptos Mono"/>
      <family val="3"/>
    </font>
    <font>
      <sz val="12"/>
      <color rgb="FF222222"/>
      <name val="Arial"/>
      <family val="2"/>
    </font>
    <font>
      <b/>
      <sz val="20"/>
      <color theme="1"/>
      <name val="Aptos Mono"/>
      <family val="3"/>
    </font>
  </fonts>
  <fills count="43">
    <fill>
      <patternFill patternType="none"/>
    </fill>
    <fill>
      <patternFill patternType="gray125"/>
    </fill>
    <fill>
      <patternFill patternType="solid">
        <fgColor rgb="FFE7E6E6"/>
        <bgColor rgb="FFE7E6E6"/>
      </patternFill>
    </fill>
    <fill>
      <patternFill patternType="solid">
        <fgColor rgb="FFFFFF00"/>
        <bgColor rgb="FFFFFF00"/>
      </patternFill>
    </fill>
    <fill>
      <patternFill patternType="solid">
        <fgColor theme="0" tint="-0.14999847407452621"/>
        <bgColor indexed="64"/>
      </patternFill>
    </fill>
    <fill>
      <patternFill patternType="solid">
        <fgColor rgb="FFEEEEEE"/>
        <bgColor rgb="FFEEEEEE"/>
      </patternFill>
    </fill>
    <fill>
      <patternFill patternType="solid">
        <fgColor theme="9" tint="0.59999389629810485"/>
        <bgColor rgb="FFCCCCFF"/>
      </patternFill>
    </fill>
    <fill>
      <patternFill patternType="solid">
        <fgColor rgb="FFFF99FF"/>
        <bgColor rgb="FFFF99FF"/>
      </patternFill>
    </fill>
    <fill>
      <patternFill patternType="solid">
        <fgColor rgb="FFCCCCFF"/>
        <bgColor rgb="FFCCCCFF"/>
      </patternFill>
    </fill>
    <fill>
      <patternFill patternType="solid">
        <fgColor rgb="FFCCCC99"/>
        <bgColor rgb="FFCCCC99"/>
      </patternFill>
    </fill>
    <fill>
      <patternFill patternType="solid">
        <fgColor rgb="FFB3B163"/>
        <bgColor rgb="FFCCCC99"/>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59999389629810485"/>
        <bgColor indexed="64"/>
      </patternFill>
    </fill>
    <fill>
      <patternFill patternType="solid">
        <fgColor rgb="FF92D050"/>
        <bgColor indexed="64"/>
      </patternFill>
    </fill>
    <fill>
      <patternFill patternType="solid">
        <fgColor rgb="FF00B0F0"/>
        <bgColor indexed="64"/>
      </patternFill>
    </fill>
    <fill>
      <patternFill patternType="solid">
        <fgColor theme="7"/>
        <bgColor rgb="FFEEEEEE"/>
      </patternFill>
    </fill>
    <fill>
      <patternFill patternType="solid">
        <fgColor theme="7"/>
        <bgColor rgb="FFFFCC00"/>
      </patternFill>
    </fill>
    <fill>
      <patternFill patternType="solid">
        <fgColor theme="2"/>
        <bgColor indexed="64"/>
      </patternFill>
    </fill>
    <fill>
      <patternFill patternType="solid">
        <fgColor theme="8" tint="-0.499984740745262"/>
        <bgColor indexed="64"/>
      </patternFill>
    </fill>
    <fill>
      <patternFill patternType="solid">
        <fgColor rgb="FFFF000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0"/>
        <bgColor indexed="64"/>
      </patternFill>
    </fill>
    <fill>
      <patternFill patternType="solid">
        <fgColor rgb="FF92D050"/>
        <bgColor rgb="FFCCCC99"/>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00B050"/>
        <bgColor indexed="64"/>
      </patternFill>
    </fill>
    <fill>
      <patternFill patternType="solid">
        <fgColor theme="9" tint="0.39997558519241921"/>
        <bgColor indexed="64"/>
      </patternFill>
    </fill>
    <fill>
      <patternFill patternType="solid">
        <fgColor theme="1" tint="0.34998626667073579"/>
        <bgColor indexed="64"/>
      </patternFill>
    </fill>
    <fill>
      <patternFill patternType="solid">
        <fgColor theme="9" tint="-0.249977111117893"/>
        <bgColor indexed="64"/>
      </patternFill>
    </fill>
    <fill>
      <patternFill patternType="solid">
        <fgColor rgb="FF64F232"/>
        <bgColor indexed="64"/>
      </patternFill>
    </fill>
    <fill>
      <patternFill patternType="solid">
        <fgColor rgb="FFEB43D3"/>
        <bgColor indexed="64"/>
      </patternFill>
    </fill>
    <fill>
      <patternFill patternType="solid">
        <fgColor theme="9"/>
        <bgColor indexed="64"/>
      </patternFill>
    </fill>
    <fill>
      <patternFill patternType="solid">
        <fgColor rgb="FF92D050"/>
        <bgColor rgb="FFD9D9D9"/>
      </patternFill>
    </fill>
    <fill>
      <patternFill patternType="solid">
        <fgColor theme="4" tint="-0.249977111117893"/>
        <bgColor indexed="64"/>
      </patternFill>
    </fill>
    <fill>
      <patternFill patternType="solid">
        <fgColor theme="5" tint="-0.249977111117893"/>
        <bgColor indexed="64"/>
      </patternFill>
    </fill>
    <fill>
      <patternFill patternType="solid">
        <fgColor theme="9" tint="-0.499984740745262"/>
        <bgColor indexed="64"/>
      </patternFill>
    </fill>
    <fill>
      <patternFill patternType="solid">
        <fgColor theme="5" tint="0.39997558519241921"/>
        <bgColor indexed="64"/>
      </patternFill>
    </fill>
    <fill>
      <patternFill patternType="solid">
        <fgColor theme="9" tint="0.79998168889431442"/>
        <bgColor indexed="64"/>
      </patternFill>
    </fill>
  </fills>
  <borders count="3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rgb="FF000000"/>
      </left>
      <right/>
      <top style="medium">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s>
  <cellStyleXfs count="8">
    <xf numFmtId="0" fontId="0" fillId="0" borderId="0"/>
    <xf numFmtId="168" fontId="58" fillId="0" borderId="0"/>
    <xf numFmtId="168" fontId="57" fillId="0" borderId="0"/>
    <xf numFmtId="0" fontId="59" fillId="0" borderId="0">
      <alignment horizontal="center"/>
    </xf>
    <xf numFmtId="0" fontId="59" fillId="0" borderId="0">
      <alignment horizontal="center" textRotation="90"/>
    </xf>
    <xf numFmtId="0" fontId="60" fillId="0" borderId="0"/>
    <xf numFmtId="169" fontId="60" fillId="0" borderId="0"/>
    <xf numFmtId="0" fontId="79" fillId="0" borderId="0" applyNumberFormat="0" applyFill="0" applyBorder="0" applyAlignment="0" applyProtection="0"/>
  </cellStyleXfs>
  <cellXfs count="704">
    <xf numFmtId="0" fontId="0" fillId="0" borderId="0" xfId="0"/>
    <xf numFmtId="168" fontId="62" fillId="0" borderId="0" xfId="2" applyFont="1"/>
    <xf numFmtId="168" fontId="57" fillId="0" borderId="0" xfId="2"/>
    <xf numFmtId="168" fontId="64" fillId="0" borderId="0" xfId="2" applyFont="1"/>
    <xf numFmtId="168" fontId="61" fillId="0" borderId="0" xfId="2" applyFont="1"/>
    <xf numFmtId="168" fontId="61" fillId="2" borderId="0" xfId="2" applyFont="1" applyFill="1"/>
    <xf numFmtId="166" fontId="62" fillId="0" borderId="0" xfId="2" applyNumberFormat="1" applyFont="1"/>
    <xf numFmtId="167" fontId="62" fillId="0" borderId="0" xfId="2" applyNumberFormat="1" applyFont="1"/>
    <xf numFmtId="165" fontId="62" fillId="0" borderId="0" xfId="2" applyNumberFormat="1" applyFont="1"/>
    <xf numFmtId="164" fontId="62" fillId="0" borderId="0" xfId="2" applyNumberFormat="1" applyFont="1"/>
    <xf numFmtId="168" fontId="65" fillId="0" borderId="0" xfId="2" applyFont="1"/>
    <xf numFmtId="0" fontId="56" fillId="0" borderId="0" xfId="0" applyFont="1"/>
    <xf numFmtId="168" fontId="66" fillId="5" borderId="1" xfId="2" applyFont="1" applyFill="1" applyBorder="1" applyAlignment="1">
      <alignment horizontal="left"/>
    </xf>
    <xf numFmtId="168" fontId="66" fillId="5" borderId="2" xfId="2" applyFont="1" applyFill="1" applyBorder="1" applyAlignment="1">
      <alignment horizontal="left"/>
    </xf>
    <xf numFmtId="168" fontId="66" fillId="5" borderId="3" xfId="2" applyFont="1" applyFill="1" applyBorder="1" applyAlignment="1">
      <alignment horizontal="left"/>
    </xf>
    <xf numFmtId="168" fontId="66" fillId="0" borderId="0" xfId="2" applyFont="1" applyAlignment="1">
      <alignment horizontal="left"/>
    </xf>
    <xf numFmtId="168" fontId="66" fillId="5" borderId="4" xfId="2" applyFont="1" applyFill="1" applyBorder="1" applyAlignment="1">
      <alignment horizontal="left"/>
    </xf>
    <xf numFmtId="168" fontId="66" fillId="5" borderId="0" xfId="2" applyFont="1" applyFill="1" applyAlignment="1">
      <alignment horizontal="left"/>
    </xf>
    <xf numFmtId="168" fontId="66" fillId="5" borderId="5" xfId="2" applyFont="1" applyFill="1" applyBorder="1" applyAlignment="1">
      <alignment horizontal="left"/>
    </xf>
    <xf numFmtId="168" fontId="67" fillId="6" borderId="0" xfId="2" applyFont="1" applyFill="1" applyAlignment="1">
      <alignment horizontal="left"/>
    </xf>
    <xf numFmtId="168" fontId="68" fillId="7" borderId="0" xfId="2" applyFont="1" applyFill="1" applyAlignment="1">
      <alignment horizontal="left"/>
    </xf>
    <xf numFmtId="168" fontId="66" fillId="5" borderId="0" xfId="2" applyFont="1" applyFill="1" applyAlignment="1">
      <alignment horizontal="center"/>
    </xf>
    <xf numFmtId="168" fontId="66" fillId="5" borderId="5" xfId="2" applyFont="1" applyFill="1" applyBorder="1" applyAlignment="1">
      <alignment horizontal="center"/>
    </xf>
    <xf numFmtId="168" fontId="66" fillId="6" borderId="0" xfId="2" applyFont="1" applyFill="1" applyAlignment="1">
      <alignment horizontal="left"/>
    </xf>
    <xf numFmtId="168" fontId="69" fillId="7" borderId="0" xfId="2" applyFont="1" applyFill="1" applyAlignment="1">
      <alignment horizontal="left"/>
    </xf>
    <xf numFmtId="168" fontId="66" fillId="5" borderId="0" xfId="2" applyFont="1" applyFill="1" applyAlignment="1">
      <alignment horizontal="right"/>
    </xf>
    <xf numFmtId="0" fontId="0" fillId="5" borderId="0" xfId="0" applyFill="1"/>
    <xf numFmtId="0" fontId="0" fillId="5" borderId="5" xfId="0" applyFill="1" applyBorder="1"/>
    <xf numFmtId="168" fontId="57" fillId="0" borderId="0" xfId="2" applyAlignment="1">
      <alignment horizontal="left"/>
    </xf>
    <xf numFmtId="168" fontId="66" fillId="8" borderId="4" xfId="2" applyFont="1" applyFill="1" applyBorder="1" applyAlignment="1">
      <alignment horizontal="left"/>
    </xf>
    <xf numFmtId="168" fontId="66" fillId="8" borderId="0" xfId="2" applyFont="1" applyFill="1" applyAlignment="1">
      <alignment horizontal="left"/>
    </xf>
    <xf numFmtId="168" fontId="66" fillId="8" borderId="5" xfId="2" applyFont="1" applyFill="1" applyBorder="1" applyAlignment="1">
      <alignment horizontal="left"/>
    </xf>
    <xf numFmtId="168" fontId="67" fillId="5" borderId="5" xfId="2" applyFont="1" applyFill="1" applyBorder="1" applyAlignment="1">
      <alignment horizontal="left"/>
    </xf>
    <xf numFmtId="0" fontId="0" fillId="5" borderId="4" xfId="0" applyFill="1" applyBorder="1"/>
    <xf numFmtId="168" fontId="67" fillId="5" borderId="0" xfId="2" applyFont="1" applyFill="1" applyAlignment="1">
      <alignment horizontal="right"/>
    </xf>
    <xf numFmtId="168" fontId="66" fillId="5" borderId="5" xfId="2" applyFont="1" applyFill="1" applyBorder="1" applyAlignment="1">
      <alignment horizontal="right"/>
    </xf>
    <xf numFmtId="0" fontId="0" fillId="5" borderId="6" xfId="0" applyFill="1" applyBorder="1"/>
    <xf numFmtId="0" fontId="0" fillId="5" borderId="7" xfId="0" applyFill="1" applyBorder="1"/>
    <xf numFmtId="168" fontId="66" fillId="5" borderId="7" xfId="2" applyFont="1" applyFill="1" applyBorder="1" applyAlignment="1">
      <alignment horizontal="right"/>
    </xf>
    <xf numFmtId="168" fontId="66" fillId="5" borderId="8" xfId="2" applyFont="1" applyFill="1" applyBorder="1" applyAlignment="1">
      <alignment horizontal="right"/>
    </xf>
    <xf numFmtId="168" fontId="66" fillId="0" borderId="0" xfId="2" applyFont="1"/>
    <xf numFmtId="168" fontId="67" fillId="9" borderId="0" xfId="2" applyFont="1" applyFill="1"/>
    <xf numFmtId="168" fontId="66" fillId="9" borderId="0" xfId="2" applyFont="1" applyFill="1" applyAlignment="1">
      <alignment horizontal="left"/>
    </xf>
    <xf numFmtId="168" fontId="66" fillId="9" borderId="0" xfId="2" applyFont="1" applyFill="1"/>
    <xf numFmtId="170" fontId="66" fillId="0" borderId="0" xfId="2" applyNumberFormat="1" applyFont="1"/>
    <xf numFmtId="168" fontId="67" fillId="9" borderId="0" xfId="2" applyFont="1" applyFill="1" applyAlignment="1">
      <alignment horizontal="left"/>
    </xf>
    <xf numFmtId="168" fontId="67" fillId="9" borderId="0" xfId="2" applyFont="1" applyFill="1" applyAlignment="1">
      <alignment horizontal="center"/>
    </xf>
    <xf numFmtId="170" fontId="57" fillId="0" borderId="0" xfId="2" applyNumberFormat="1"/>
    <xf numFmtId="168" fontId="66" fillId="9" borderId="0" xfId="2" applyFont="1" applyFill="1" applyAlignment="1">
      <alignment horizontal="right"/>
    </xf>
    <xf numFmtId="168" fontId="70" fillId="9" borderId="0" xfId="2" applyFont="1" applyFill="1" applyAlignment="1">
      <alignment horizontal="center"/>
    </xf>
    <xf numFmtId="168" fontId="66" fillId="8" borderId="6" xfId="2" applyFont="1" applyFill="1" applyBorder="1" applyAlignment="1">
      <alignment horizontal="left"/>
    </xf>
    <xf numFmtId="168" fontId="67" fillId="8" borderId="7" xfId="2" applyFont="1" applyFill="1" applyBorder="1" applyAlignment="1">
      <alignment horizontal="left"/>
    </xf>
    <xf numFmtId="168" fontId="66" fillId="8" borderId="8" xfId="2" applyFont="1" applyFill="1" applyBorder="1" applyAlignment="1">
      <alignment horizontal="left"/>
    </xf>
    <xf numFmtId="168" fontId="71" fillId="9" borderId="0" xfId="2" applyFont="1" applyFill="1"/>
    <xf numFmtId="168" fontId="72" fillId="9" borderId="0" xfId="2" applyFont="1" applyFill="1" applyAlignment="1">
      <alignment horizontal="center"/>
    </xf>
    <xf numFmtId="168" fontId="67" fillId="10" borderId="0" xfId="2" applyFont="1" applyFill="1"/>
    <xf numFmtId="168" fontId="57" fillId="9" borderId="0" xfId="2" applyFill="1"/>
    <xf numFmtId="168" fontId="67" fillId="9" borderId="0" xfId="2" applyFont="1" applyFill="1" applyAlignment="1">
      <alignment horizontal="right"/>
    </xf>
    <xf numFmtId="168" fontId="57" fillId="9" borderId="0" xfId="2" applyFill="1" applyAlignment="1">
      <alignment horizontal="center"/>
    </xf>
    <xf numFmtId="0" fontId="0" fillId="9" borderId="0" xfId="0" applyFill="1"/>
    <xf numFmtId="168" fontId="73" fillId="9" borderId="0" xfId="2" applyFont="1" applyFill="1" applyAlignment="1">
      <alignment horizontal="center"/>
    </xf>
    <xf numFmtId="168" fontId="73" fillId="9" borderId="0" xfId="2" applyFont="1" applyFill="1" applyAlignment="1">
      <alignment horizontal="right"/>
    </xf>
    <xf numFmtId="172" fontId="65" fillId="0" borderId="0" xfId="2" applyNumberFormat="1" applyFont="1"/>
    <xf numFmtId="0" fontId="0" fillId="0" borderId="9" xfId="0" applyBorder="1"/>
    <xf numFmtId="168" fontId="77" fillId="0" borderId="0" xfId="2" applyFont="1"/>
    <xf numFmtId="168" fontId="76" fillId="11" borderId="0" xfId="2" applyFont="1" applyFill="1"/>
    <xf numFmtId="168" fontId="78" fillId="11" borderId="0" xfId="2" applyFont="1" applyFill="1"/>
    <xf numFmtId="168" fontId="77" fillId="11" borderId="0" xfId="2" applyFont="1" applyFill="1"/>
    <xf numFmtId="168" fontId="57" fillId="11" borderId="0" xfId="2" applyFill="1"/>
    <xf numFmtId="168" fontId="77" fillId="0" borderId="0" xfId="2" applyFont="1" applyAlignment="1">
      <alignment horizontal="left"/>
    </xf>
    <xf numFmtId="168" fontId="76" fillId="11" borderId="0" xfId="2" applyFont="1" applyFill="1" applyAlignment="1">
      <alignment horizontal="left"/>
    </xf>
    <xf numFmtId="168" fontId="77" fillId="11" borderId="0" xfId="2" applyFont="1" applyFill="1" applyAlignment="1">
      <alignment horizontal="left"/>
    </xf>
    <xf numFmtId="168" fontId="57" fillId="11" borderId="0" xfId="2" applyFill="1" applyAlignment="1">
      <alignment horizontal="left"/>
    </xf>
    <xf numFmtId="0" fontId="0" fillId="0" borderId="0" xfId="0" applyAlignment="1">
      <alignment horizontal="left"/>
    </xf>
    <xf numFmtId="168" fontId="66" fillId="5" borderId="0" xfId="2" quotePrefix="1" applyFont="1" applyFill="1" applyAlignment="1">
      <alignment horizontal="right"/>
    </xf>
    <xf numFmtId="168" fontId="66" fillId="5" borderId="0" xfId="2" quotePrefix="1" applyFont="1" applyFill="1" applyAlignment="1">
      <alignment horizontal="left"/>
    </xf>
    <xf numFmtId="168" fontId="67" fillId="5" borderId="0" xfId="2" applyFont="1" applyFill="1" applyAlignment="1">
      <alignment horizontal="left"/>
    </xf>
    <xf numFmtId="168" fontId="65" fillId="0" borderId="9" xfId="2" applyFont="1" applyBorder="1"/>
    <xf numFmtId="168" fontId="63" fillId="0" borderId="9" xfId="2" applyFont="1" applyBorder="1"/>
    <xf numFmtId="172" fontId="65" fillId="0" borderId="9" xfId="2" applyNumberFormat="1" applyFont="1" applyBorder="1"/>
    <xf numFmtId="168" fontId="81" fillId="9" borderId="0" xfId="2" applyFont="1" applyFill="1"/>
    <xf numFmtId="168" fontId="76" fillId="11" borderId="9" xfId="2" applyFont="1" applyFill="1" applyBorder="1" applyAlignment="1">
      <alignment horizontal="left"/>
    </xf>
    <xf numFmtId="168" fontId="77" fillId="11" borderId="9" xfId="2" applyFont="1" applyFill="1" applyBorder="1" applyAlignment="1">
      <alignment horizontal="left"/>
    </xf>
    <xf numFmtId="168" fontId="65" fillId="0" borderId="0" xfId="2" applyFont="1" applyAlignment="1">
      <alignment horizontal="center"/>
    </xf>
    <xf numFmtId="168" fontId="65" fillId="0" borderId="9" xfId="2" quotePrefix="1" applyFont="1" applyBorder="1" applyAlignment="1">
      <alignment horizontal="center"/>
    </xf>
    <xf numFmtId="173" fontId="65" fillId="0" borderId="9" xfId="2" applyNumberFormat="1" applyFont="1" applyBorder="1" applyAlignment="1">
      <alignment horizontal="center"/>
    </xf>
    <xf numFmtId="0" fontId="0" fillId="0" borderId="0" xfId="0" applyAlignment="1">
      <alignment horizontal="center"/>
    </xf>
    <xf numFmtId="0" fontId="83" fillId="0" borderId="0" xfId="0" applyFont="1"/>
    <xf numFmtId="0" fontId="55" fillId="0" borderId="0" xfId="0" applyFont="1"/>
    <xf numFmtId="0" fontId="80" fillId="0" borderId="0" xfId="0" applyFont="1"/>
    <xf numFmtId="168" fontId="67" fillId="17" borderId="0" xfId="2" applyFont="1" applyFill="1" applyAlignment="1">
      <alignment horizontal="right"/>
    </xf>
    <xf numFmtId="168" fontId="67" fillId="18" borderId="5" xfId="2" applyFont="1" applyFill="1" applyBorder="1" applyAlignment="1">
      <alignment horizontal="left"/>
    </xf>
    <xf numFmtId="0" fontId="79" fillId="0" borderId="0" xfId="7"/>
    <xf numFmtId="168" fontId="85" fillId="0" borderId="9" xfId="2" applyFont="1" applyBorder="1" applyAlignment="1">
      <alignment horizontal="left"/>
    </xf>
    <xf numFmtId="168" fontId="85" fillId="0" borderId="9" xfId="2" applyFont="1" applyBorder="1"/>
    <xf numFmtId="171" fontId="85" fillId="0" borderId="9" xfId="2" applyNumberFormat="1" applyFont="1" applyBorder="1"/>
    <xf numFmtId="168" fontId="85" fillId="0" borderId="9" xfId="2" applyFont="1" applyBorder="1" applyAlignment="1">
      <alignment horizontal="right"/>
    </xf>
    <xf numFmtId="171" fontId="85" fillId="0" borderId="9" xfId="2" applyNumberFormat="1" applyFont="1" applyBorder="1" applyAlignment="1">
      <alignment horizontal="right"/>
    </xf>
    <xf numFmtId="3" fontId="85" fillId="0" borderId="9" xfId="2" applyNumberFormat="1" applyFont="1" applyBorder="1"/>
    <xf numFmtId="168" fontId="85" fillId="13" borderId="9" xfId="2" applyFont="1" applyFill="1" applyBorder="1" applyAlignment="1">
      <alignment horizontal="right"/>
    </xf>
    <xf numFmtId="3" fontId="84" fillId="0" borderId="9" xfId="2" applyNumberFormat="1" applyFont="1" applyBorder="1"/>
    <xf numFmtId="168" fontId="67" fillId="9" borderId="9" xfId="2" applyFont="1" applyFill="1" applyBorder="1" applyAlignment="1">
      <alignment horizontal="center" vertical="center"/>
    </xf>
    <xf numFmtId="168" fontId="67" fillId="9" borderId="9" xfId="2" applyFont="1" applyFill="1" applyBorder="1"/>
    <xf numFmtId="0" fontId="86" fillId="0" borderId="0" xfId="0" applyFont="1"/>
    <xf numFmtId="0" fontId="54" fillId="0" borderId="0" xfId="0" quotePrefix="1" applyFont="1"/>
    <xf numFmtId="49" fontId="0" fillId="0" borderId="0" xfId="0" applyNumberFormat="1"/>
    <xf numFmtId="49" fontId="54" fillId="0" borderId="9" xfId="0" quotePrefix="1" applyNumberFormat="1" applyFont="1" applyBorder="1" applyAlignment="1">
      <alignment horizontal="left"/>
    </xf>
    <xf numFmtId="0" fontId="82" fillId="20" borderId="9" xfId="0" quotePrefix="1" applyFont="1" applyFill="1" applyBorder="1"/>
    <xf numFmtId="49" fontId="82" fillId="20" borderId="9" xfId="0" quotePrefix="1" applyNumberFormat="1" applyFont="1" applyFill="1" applyBorder="1"/>
    <xf numFmtId="0" fontId="54" fillId="4" borderId="9" xfId="0" quotePrefix="1" applyFont="1" applyFill="1" applyBorder="1"/>
    <xf numFmtId="49" fontId="54" fillId="4" borderId="9" xfId="0" quotePrefix="1" applyNumberFormat="1" applyFont="1" applyFill="1" applyBorder="1" applyAlignment="1">
      <alignment horizontal="left"/>
    </xf>
    <xf numFmtId="0" fontId="82" fillId="20" borderId="9" xfId="0" quotePrefix="1" applyFont="1" applyFill="1" applyBorder="1" applyAlignment="1">
      <alignment horizontal="center"/>
    </xf>
    <xf numFmtId="0" fontId="54" fillId="4" borderId="9" xfId="0" quotePrefix="1" applyFont="1" applyFill="1" applyBorder="1" applyAlignment="1">
      <alignment horizontal="center"/>
    </xf>
    <xf numFmtId="17" fontId="54" fillId="0" borderId="9" xfId="0" quotePrefix="1" applyNumberFormat="1" applyFont="1" applyBorder="1" applyAlignment="1">
      <alignment horizontal="center"/>
    </xf>
    <xf numFmtId="17" fontId="54" fillId="4" borderId="9" xfId="0" quotePrefix="1" applyNumberFormat="1" applyFont="1" applyFill="1" applyBorder="1" applyAlignment="1">
      <alignment horizontal="center"/>
    </xf>
    <xf numFmtId="0" fontId="54" fillId="0" borderId="9" xfId="0" quotePrefix="1" applyFont="1" applyBorder="1" applyAlignment="1">
      <alignment horizontal="center"/>
    </xf>
    <xf numFmtId="0" fontId="82" fillId="20" borderId="9" xfId="0" quotePrefix="1" applyFont="1" applyFill="1" applyBorder="1" applyAlignment="1">
      <alignment horizontal="right" vertical="center"/>
    </xf>
    <xf numFmtId="0" fontId="54" fillId="4" borderId="9" xfId="0" quotePrefix="1" applyFont="1" applyFill="1" applyBorder="1" applyAlignment="1">
      <alignment horizontal="right" vertical="center"/>
    </xf>
    <xf numFmtId="0" fontId="54" fillId="0" borderId="9" xfId="0" quotePrefix="1" applyFont="1" applyBorder="1" applyAlignment="1">
      <alignment horizontal="right" vertical="center"/>
    </xf>
    <xf numFmtId="0" fontId="0" fillId="0" borderId="0" xfId="0" applyAlignment="1">
      <alignment horizontal="right" vertical="center"/>
    </xf>
    <xf numFmtId="0" fontId="80" fillId="0" borderId="9" xfId="0" quotePrefix="1" applyFont="1" applyBorder="1"/>
    <xf numFmtId="0" fontId="52" fillId="0" borderId="9" xfId="0" quotePrefix="1" applyFont="1" applyBorder="1"/>
    <xf numFmtId="15" fontId="86" fillId="0" borderId="9" xfId="0" applyNumberFormat="1" applyFont="1" applyBorder="1"/>
    <xf numFmtId="0" fontId="86" fillId="0" borderId="9" xfId="0" applyFont="1" applyBorder="1"/>
    <xf numFmtId="0" fontId="87" fillId="19" borderId="9" xfId="0" applyFont="1" applyFill="1" applyBorder="1"/>
    <xf numFmtId="0" fontId="88" fillId="0" borderId="0" xfId="0" applyFont="1"/>
    <xf numFmtId="0" fontId="89" fillId="0" borderId="0" xfId="0" applyFont="1"/>
    <xf numFmtId="0" fontId="90" fillId="22" borderId="9" xfId="0" applyFont="1" applyFill="1" applyBorder="1"/>
    <xf numFmtId="17" fontId="52" fillId="19" borderId="9" xfId="0" quotePrefix="1" applyNumberFormat="1" applyFont="1" applyFill="1" applyBorder="1" applyAlignment="1">
      <alignment horizontal="center"/>
    </xf>
    <xf numFmtId="0" fontId="80" fillId="4" borderId="9" xfId="0" quotePrefix="1" applyFont="1" applyFill="1" applyBorder="1"/>
    <xf numFmtId="17" fontId="86" fillId="0" borderId="9" xfId="0" applyNumberFormat="1" applyFont="1" applyBorder="1"/>
    <xf numFmtId="49" fontId="80" fillId="0" borderId="0" xfId="0" applyNumberFormat="1" applyFont="1"/>
    <xf numFmtId="0" fontId="87" fillId="12" borderId="9" xfId="0" applyFont="1" applyFill="1" applyBorder="1"/>
    <xf numFmtId="0" fontId="86" fillId="0" borderId="9" xfId="0" quotePrefix="1" applyFont="1" applyBorder="1"/>
    <xf numFmtId="0" fontId="0" fillId="0" borderId="0" xfId="0" quotePrefix="1"/>
    <xf numFmtId="0" fontId="87" fillId="13" borderId="9" xfId="0" applyFont="1" applyFill="1" applyBorder="1"/>
    <xf numFmtId="0" fontId="86" fillId="0" borderId="9" xfId="0" applyFont="1" applyBorder="1" applyAlignment="1">
      <alignment horizontal="center"/>
    </xf>
    <xf numFmtId="168" fontId="91" fillId="0" borderId="9" xfId="2" applyFont="1" applyBorder="1"/>
    <xf numFmtId="168" fontId="92" fillId="12" borderId="9" xfId="2" applyFont="1" applyFill="1" applyBorder="1" applyAlignment="1">
      <alignment horizontal="center"/>
    </xf>
    <xf numFmtId="168" fontId="62" fillId="0" borderId="0" xfId="2" applyFont="1" applyAlignment="1">
      <alignment horizontal="center"/>
    </xf>
    <xf numFmtId="0" fontId="0" fillId="0" borderId="9" xfId="0" applyBorder="1" applyAlignment="1">
      <alignment horizontal="center"/>
    </xf>
    <xf numFmtId="0" fontId="50" fillId="0" borderId="9" xfId="0" quotePrefix="1" applyFont="1" applyBorder="1" applyAlignment="1">
      <alignment horizontal="center"/>
    </xf>
    <xf numFmtId="168" fontId="67" fillId="5" borderId="2" xfId="2" applyFont="1" applyFill="1" applyBorder="1" applyAlignment="1">
      <alignment horizontal="left"/>
    </xf>
    <xf numFmtId="168" fontId="67" fillId="8" borderId="0" xfId="2" applyFont="1" applyFill="1" applyAlignment="1">
      <alignment horizontal="left"/>
    </xf>
    <xf numFmtId="168" fontId="93" fillId="8" borderId="0" xfId="2" applyFont="1" applyFill="1" applyAlignment="1">
      <alignment horizontal="left"/>
    </xf>
    <xf numFmtId="168" fontId="67" fillId="8" borderId="11" xfId="2" applyFont="1" applyFill="1" applyBorder="1" applyAlignment="1">
      <alignment horizontal="left"/>
    </xf>
    <xf numFmtId="168" fontId="67" fillId="8" borderId="12" xfId="2" applyFont="1" applyFill="1" applyBorder="1" applyAlignment="1">
      <alignment horizontal="left"/>
    </xf>
    <xf numFmtId="168" fontId="57" fillId="8" borderId="13" xfId="2" applyFill="1" applyBorder="1"/>
    <xf numFmtId="168" fontId="66" fillId="8" borderId="17" xfId="2" applyFont="1" applyFill="1" applyBorder="1" applyAlignment="1">
      <alignment horizontal="left"/>
    </xf>
    <xf numFmtId="168" fontId="66" fillId="8" borderId="18" xfId="2" applyFont="1" applyFill="1" applyBorder="1" applyAlignment="1">
      <alignment horizontal="left"/>
    </xf>
    <xf numFmtId="168" fontId="67" fillId="8" borderId="17" xfId="2" applyFont="1" applyFill="1" applyBorder="1" applyAlignment="1">
      <alignment horizontal="left"/>
    </xf>
    <xf numFmtId="168" fontId="67" fillId="8" borderId="18" xfId="2" applyFont="1" applyFill="1" applyBorder="1" applyAlignment="1">
      <alignment horizontal="left"/>
    </xf>
    <xf numFmtId="168" fontId="66" fillId="8" borderId="14" xfId="2" applyFont="1" applyFill="1" applyBorder="1" applyAlignment="1">
      <alignment horizontal="left"/>
    </xf>
    <xf numFmtId="168" fontId="67" fillId="8" borderId="15" xfId="2" applyFont="1" applyFill="1" applyBorder="1" applyAlignment="1">
      <alignment horizontal="left"/>
    </xf>
    <xf numFmtId="168" fontId="66" fillId="8" borderId="16" xfId="2" applyFont="1" applyFill="1" applyBorder="1" applyAlignment="1">
      <alignment horizontal="left"/>
    </xf>
    <xf numFmtId="168" fontId="67" fillId="8" borderId="19" xfId="2" applyFont="1" applyFill="1" applyBorder="1" applyAlignment="1">
      <alignment horizontal="left"/>
    </xf>
    <xf numFmtId="168" fontId="57" fillId="8" borderId="18" xfId="2" applyFill="1" applyBorder="1"/>
    <xf numFmtId="0" fontId="0" fillId="8" borderId="17" xfId="0" applyFill="1" applyBorder="1"/>
    <xf numFmtId="0" fontId="0" fillId="8" borderId="0" xfId="0" applyFill="1"/>
    <xf numFmtId="0" fontId="0" fillId="8" borderId="18" xfId="0" applyFill="1" applyBorder="1"/>
    <xf numFmtId="168" fontId="93" fillId="8" borderId="15" xfId="2" applyFont="1" applyFill="1" applyBorder="1" applyAlignment="1">
      <alignment horizontal="left"/>
    </xf>
    <xf numFmtId="0" fontId="0" fillId="0" borderId="9" xfId="0" applyBorder="1" applyAlignment="1">
      <alignment horizontal="left"/>
    </xf>
    <xf numFmtId="0" fontId="87" fillId="19" borderId="9" xfId="0" applyFont="1" applyFill="1" applyBorder="1" applyAlignment="1">
      <alignment horizontal="left"/>
    </xf>
    <xf numFmtId="0" fontId="87" fillId="19" borderId="9" xfId="0" applyFont="1" applyFill="1" applyBorder="1" applyAlignment="1">
      <alignment horizontal="right"/>
    </xf>
    <xf numFmtId="0" fontId="86" fillId="0" borderId="9" xfId="0" applyFont="1" applyBorder="1" applyAlignment="1">
      <alignment horizontal="right"/>
    </xf>
    <xf numFmtId="168" fontId="92" fillId="24" borderId="9" xfId="2" applyFont="1" applyFill="1" applyBorder="1"/>
    <xf numFmtId="168" fontId="63" fillId="12" borderId="9" xfId="2" applyFont="1" applyFill="1" applyBorder="1"/>
    <xf numFmtId="168" fontId="65" fillId="26" borderId="9" xfId="2" applyFont="1" applyFill="1" applyBorder="1"/>
    <xf numFmtId="172" fontId="65" fillId="26" borderId="9" xfId="2" quotePrefix="1" applyNumberFormat="1" applyFont="1" applyFill="1" applyBorder="1"/>
    <xf numFmtId="172" fontId="65" fillId="26" borderId="9" xfId="2" applyNumberFormat="1" applyFont="1" applyFill="1" applyBorder="1"/>
    <xf numFmtId="168" fontId="65" fillId="26" borderId="9" xfId="2" quotePrefix="1" applyFont="1" applyFill="1" applyBorder="1"/>
    <xf numFmtId="1" fontId="63" fillId="16" borderId="9" xfId="2" applyNumberFormat="1" applyFont="1" applyFill="1" applyBorder="1" applyAlignment="1">
      <alignment horizontal="right"/>
    </xf>
    <xf numFmtId="168" fontId="95" fillId="0" borderId="0" xfId="2" applyFont="1"/>
    <xf numFmtId="168" fontId="95" fillId="0" borderId="0" xfId="2" quotePrefix="1" applyFont="1"/>
    <xf numFmtId="168" fontId="67" fillId="27" borderId="0" xfId="2" applyFont="1" applyFill="1" applyAlignment="1">
      <alignment horizontal="right"/>
    </xf>
    <xf numFmtId="0" fontId="87" fillId="28" borderId="9" xfId="0" applyFont="1" applyFill="1" applyBorder="1"/>
    <xf numFmtId="0" fontId="87" fillId="0" borderId="0" xfId="0" applyFont="1"/>
    <xf numFmtId="168" fontId="65" fillId="0" borderId="0" xfId="2" quotePrefix="1" applyFont="1"/>
    <xf numFmtId="0" fontId="80" fillId="4" borderId="9" xfId="0" quotePrefix="1" applyFont="1" applyFill="1" applyBorder="1" applyAlignment="1">
      <alignment horizontal="center"/>
    </xf>
    <xf numFmtId="0" fontId="49" fillId="4" borderId="9" xfId="0" quotePrefix="1" applyFont="1" applyFill="1" applyBorder="1"/>
    <xf numFmtId="168" fontId="77" fillId="16" borderId="9" xfId="2" applyFont="1" applyFill="1" applyBorder="1" applyAlignment="1">
      <alignment horizontal="left"/>
    </xf>
    <xf numFmtId="0" fontId="94" fillId="0" borderId="0" xfId="0" applyFont="1"/>
    <xf numFmtId="168" fontId="65" fillId="0" borderId="9" xfId="2" quotePrefix="1" applyFont="1" applyBorder="1"/>
    <xf numFmtId="0" fontId="54" fillId="15" borderId="9" xfId="0" quotePrefix="1" applyFont="1" applyFill="1" applyBorder="1"/>
    <xf numFmtId="10" fontId="82" fillId="20" borderId="9" xfId="0" quotePrefix="1" applyNumberFormat="1" applyFont="1" applyFill="1" applyBorder="1"/>
    <xf numFmtId="10" fontId="54" fillId="4" borderId="9" xfId="0" quotePrefix="1" applyNumberFormat="1" applyFont="1" applyFill="1" applyBorder="1"/>
    <xf numFmtId="10" fontId="0" fillId="0" borderId="0" xfId="0" applyNumberFormat="1"/>
    <xf numFmtId="49" fontId="54" fillId="4" borderId="10" xfId="0" quotePrefix="1" applyNumberFormat="1" applyFont="1" applyFill="1" applyBorder="1"/>
    <xf numFmtId="0" fontId="47" fillId="4" borderId="9" xfId="0" quotePrefix="1" applyFont="1" applyFill="1" applyBorder="1"/>
    <xf numFmtId="0" fontId="52" fillId="4" borderId="9" xfId="0" quotePrefix="1" applyFont="1" applyFill="1" applyBorder="1"/>
    <xf numFmtId="0" fontId="52" fillId="4" borderId="9" xfId="0" quotePrefix="1" applyFont="1" applyFill="1" applyBorder="1" applyAlignment="1">
      <alignment horizontal="center"/>
    </xf>
    <xf numFmtId="0" fontId="53" fillId="4" borderId="9" xfId="0" quotePrefix="1" applyFont="1" applyFill="1" applyBorder="1"/>
    <xf numFmtId="10" fontId="54" fillId="30" borderId="9" xfId="0" quotePrefix="1" applyNumberFormat="1" applyFont="1" applyFill="1" applyBorder="1"/>
    <xf numFmtId="10" fontId="54" fillId="15" borderId="9" xfId="0" quotePrefix="1" applyNumberFormat="1" applyFont="1" applyFill="1" applyBorder="1"/>
    <xf numFmtId="10" fontId="54" fillId="14" borderId="9" xfId="0" quotePrefix="1" applyNumberFormat="1" applyFont="1" applyFill="1" applyBorder="1"/>
    <xf numFmtId="0" fontId="52" fillId="15" borderId="9" xfId="0" quotePrefix="1" applyFont="1" applyFill="1" applyBorder="1"/>
    <xf numFmtId="0" fontId="54" fillId="30" borderId="9" xfId="0" quotePrefix="1" applyFont="1" applyFill="1" applyBorder="1"/>
    <xf numFmtId="0" fontId="54" fillId="14" borderId="9" xfId="0" quotePrefix="1" applyFont="1" applyFill="1" applyBorder="1"/>
    <xf numFmtId="0" fontId="52" fillId="14" borderId="9" xfId="0" quotePrefix="1" applyFont="1" applyFill="1" applyBorder="1"/>
    <xf numFmtId="0" fontId="96" fillId="0" borderId="0" xfId="0" applyFont="1" applyAlignment="1">
      <alignment vertical="center"/>
    </xf>
    <xf numFmtId="0" fontId="54" fillId="0" borderId="9" xfId="0" quotePrefix="1" applyFont="1" applyBorder="1" applyAlignment="1">
      <alignment horizontal="right"/>
    </xf>
    <xf numFmtId="0" fontId="54" fillId="29" borderId="9" xfId="0" quotePrefix="1" applyFont="1" applyFill="1" applyBorder="1" applyAlignment="1">
      <alignment horizontal="center"/>
    </xf>
    <xf numFmtId="0" fontId="47" fillId="29" borderId="9" xfId="0" quotePrefix="1" applyFont="1" applyFill="1" applyBorder="1" applyAlignment="1">
      <alignment horizontal="left"/>
    </xf>
    <xf numFmtId="17" fontId="54" fillId="29" borderId="9" xfId="0" quotePrefix="1" applyNumberFormat="1" applyFont="1" applyFill="1" applyBorder="1" applyAlignment="1">
      <alignment horizontal="center"/>
    </xf>
    <xf numFmtId="0" fontId="47" fillId="29" borderId="9" xfId="0" quotePrefix="1" applyFont="1" applyFill="1" applyBorder="1" applyAlignment="1">
      <alignment horizontal="center"/>
    </xf>
    <xf numFmtId="15" fontId="54" fillId="29" borderId="9" xfId="0" quotePrefix="1" applyNumberFormat="1" applyFont="1" applyFill="1" applyBorder="1" applyAlignment="1">
      <alignment horizontal="center"/>
    </xf>
    <xf numFmtId="0" fontId="54" fillId="29" borderId="9" xfId="0" quotePrefix="1" applyFont="1" applyFill="1" applyBorder="1" applyAlignment="1">
      <alignment horizontal="right"/>
    </xf>
    <xf numFmtId="0" fontId="96" fillId="29" borderId="0" xfId="0" applyFont="1" applyFill="1"/>
    <xf numFmtId="0" fontId="47" fillId="30" borderId="9" xfId="0" quotePrefix="1" applyFont="1" applyFill="1" applyBorder="1" applyAlignment="1">
      <alignment horizontal="left"/>
    </xf>
    <xf numFmtId="0" fontId="47" fillId="15" borderId="9" xfId="0" quotePrefix="1" applyFont="1" applyFill="1" applyBorder="1" applyAlignment="1">
      <alignment horizontal="left"/>
    </xf>
    <xf numFmtId="10" fontId="86" fillId="0" borderId="9" xfId="0" applyNumberFormat="1" applyFont="1" applyBorder="1"/>
    <xf numFmtId="0" fontId="45" fillId="0" borderId="9" xfId="0" quotePrefix="1" applyFont="1" applyBorder="1" applyAlignment="1">
      <alignment horizontal="left"/>
    </xf>
    <xf numFmtId="17" fontId="54" fillId="26" borderId="9" xfId="0" quotePrefix="1" applyNumberFormat="1" applyFont="1" applyFill="1" applyBorder="1" applyAlignment="1">
      <alignment horizontal="center"/>
    </xf>
    <xf numFmtId="49" fontId="42" fillId="0" borderId="9" xfId="0" quotePrefix="1" applyNumberFormat="1" applyFont="1" applyBorder="1" applyAlignment="1">
      <alignment horizontal="left"/>
    </xf>
    <xf numFmtId="0" fontId="41" fillId="29" borderId="9" xfId="0" quotePrefix="1" applyFont="1" applyFill="1" applyBorder="1" applyAlignment="1">
      <alignment horizontal="left"/>
    </xf>
    <xf numFmtId="0" fontId="54" fillId="0" borderId="9" xfId="0" quotePrefix="1" applyFont="1" applyBorder="1" applyAlignment="1">
      <alignment horizontal="left"/>
    </xf>
    <xf numFmtId="0" fontId="82" fillId="20" borderId="9" xfId="0" quotePrefix="1" applyFont="1" applyFill="1" applyBorder="1" applyAlignment="1">
      <alignment horizontal="left"/>
    </xf>
    <xf numFmtId="0" fontId="54" fillId="4" borderId="9" xfId="0" quotePrefix="1" applyFont="1" applyFill="1" applyBorder="1" applyAlignment="1">
      <alignment horizontal="left"/>
    </xf>
    <xf numFmtId="0" fontId="47" fillId="4" borderId="9" xfId="0" quotePrefix="1" applyFont="1" applyFill="1" applyBorder="1" applyAlignment="1">
      <alignment horizontal="left"/>
    </xf>
    <xf numFmtId="0" fontId="48" fillId="4" borderId="9" xfId="0" quotePrefix="1" applyFont="1" applyFill="1" applyBorder="1" applyAlignment="1">
      <alignment horizontal="left"/>
    </xf>
    <xf numFmtId="0" fontId="46" fillId="0" borderId="9" xfId="0" quotePrefix="1" applyFont="1" applyBorder="1" applyAlignment="1">
      <alignment horizontal="left"/>
    </xf>
    <xf numFmtId="0" fontId="54" fillId="29" borderId="9" xfId="0" quotePrefix="1" applyFont="1" applyFill="1" applyBorder="1" applyAlignment="1">
      <alignment horizontal="left"/>
    </xf>
    <xf numFmtId="174" fontId="62" fillId="0" borderId="0" xfId="2" applyNumberFormat="1" applyFont="1"/>
    <xf numFmtId="174" fontId="61" fillId="2" borderId="0" xfId="2" applyNumberFormat="1" applyFont="1" applyFill="1"/>
    <xf numFmtId="0" fontId="39" fillId="4" borderId="9" xfId="0" quotePrefix="1" applyFont="1" applyFill="1" applyBorder="1" applyAlignment="1">
      <alignment horizontal="center"/>
    </xf>
    <xf numFmtId="17" fontId="39" fillId="19" borderId="9" xfId="0" quotePrefix="1" applyNumberFormat="1" applyFont="1" applyFill="1" applyBorder="1" applyAlignment="1">
      <alignment horizontal="center"/>
    </xf>
    <xf numFmtId="0" fontId="82" fillId="20" borderId="9" xfId="0" quotePrefix="1" applyFont="1" applyFill="1" applyBorder="1" applyAlignment="1">
      <alignment horizontal="right"/>
    </xf>
    <xf numFmtId="0" fontId="54" fillId="4" borderId="9" xfId="0" quotePrefix="1" applyFont="1" applyFill="1" applyBorder="1" applyAlignment="1">
      <alignment horizontal="right"/>
    </xf>
    <xf numFmtId="0" fontId="0" fillId="0" borderId="0" xfId="0" applyAlignment="1">
      <alignment horizontal="right"/>
    </xf>
    <xf numFmtId="0" fontId="37" fillId="4" borderId="9" xfId="0" quotePrefix="1" applyFont="1" applyFill="1" applyBorder="1"/>
    <xf numFmtId="0" fontId="37" fillId="0" borderId="9" xfId="0" quotePrefix="1" applyFont="1" applyBorder="1" applyAlignment="1">
      <alignment horizontal="center"/>
    </xf>
    <xf numFmtId="0" fontId="37" fillId="0" borderId="25" xfId="0" quotePrefix="1" applyFont="1" applyBorder="1"/>
    <xf numFmtId="0" fontId="37" fillId="0" borderId="26" xfId="0" quotePrefix="1" applyFont="1" applyBorder="1"/>
    <xf numFmtId="0" fontId="37" fillId="0" borderId="27" xfId="0" quotePrefix="1" applyFont="1" applyBorder="1"/>
    <xf numFmtId="0" fontId="80" fillId="0" borderId="24" xfId="0" quotePrefix="1" applyFont="1" applyBorder="1"/>
    <xf numFmtId="10" fontId="0" fillId="0" borderId="9" xfId="0" applyNumberFormat="1" applyBorder="1"/>
    <xf numFmtId="0" fontId="37" fillId="0" borderId="9" xfId="0" quotePrefix="1" applyFont="1" applyBorder="1" applyAlignment="1">
      <alignment horizontal="right" vertical="center"/>
    </xf>
    <xf numFmtId="0" fontId="35" fillId="0" borderId="9" xfId="0" quotePrefix="1" applyFont="1" applyBorder="1"/>
    <xf numFmtId="0" fontId="44" fillId="26" borderId="9" xfId="0" quotePrefix="1" applyFont="1" applyFill="1" applyBorder="1"/>
    <xf numFmtId="0" fontId="34" fillId="0" borderId="28" xfId="0" applyFont="1" applyBorder="1"/>
    <xf numFmtId="0" fontId="0" fillId="13" borderId="0" xfId="0" applyFill="1"/>
    <xf numFmtId="0" fontId="54" fillId="23" borderId="9" xfId="0" quotePrefix="1" applyFont="1" applyFill="1" applyBorder="1" applyAlignment="1">
      <alignment horizontal="center"/>
    </xf>
    <xf numFmtId="172" fontId="65" fillId="0" borderId="9" xfId="2" quotePrefix="1" applyNumberFormat="1" applyFont="1" applyBorder="1"/>
    <xf numFmtId="172" fontId="63" fillId="0" borderId="9" xfId="2" applyNumberFormat="1" applyFont="1" applyBorder="1"/>
    <xf numFmtId="9" fontId="37" fillId="0" borderId="9" xfId="0" quotePrefix="1" applyNumberFormat="1" applyFont="1" applyBorder="1" applyAlignment="1">
      <alignment horizontal="right" vertical="center"/>
    </xf>
    <xf numFmtId="49" fontId="33" fillId="4" borderId="9" xfId="0" quotePrefix="1" applyNumberFormat="1" applyFont="1" applyFill="1" applyBorder="1" applyAlignment="1">
      <alignment horizontal="left"/>
    </xf>
    <xf numFmtId="0" fontId="97" fillId="0" borderId="0" xfId="0" applyFont="1"/>
    <xf numFmtId="0" fontId="0" fillId="0" borderId="9" xfId="0" quotePrefix="1" applyBorder="1" applyAlignment="1">
      <alignment horizontal="left"/>
    </xf>
    <xf numFmtId="168" fontId="65" fillId="13" borderId="9" xfId="2" applyFont="1" applyFill="1" applyBorder="1"/>
    <xf numFmtId="168" fontId="65" fillId="30" borderId="9" xfId="2" applyFont="1" applyFill="1" applyBorder="1"/>
    <xf numFmtId="172" fontId="65" fillId="30" borderId="9" xfId="2" applyNumberFormat="1" applyFont="1" applyFill="1" applyBorder="1"/>
    <xf numFmtId="168" fontId="91" fillId="0" borderId="9" xfId="2" quotePrefix="1" applyFont="1" applyBorder="1"/>
    <xf numFmtId="15" fontId="54" fillId="4" borderId="9" xfId="0" quotePrefix="1" applyNumberFormat="1" applyFont="1" applyFill="1" applyBorder="1" applyAlignment="1">
      <alignment horizontal="center"/>
    </xf>
    <xf numFmtId="0" fontId="33" fillId="0" borderId="0" xfId="0" quotePrefix="1" applyFont="1"/>
    <xf numFmtId="0" fontId="33" fillId="4" borderId="9" xfId="0" quotePrefix="1" applyFont="1" applyFill="1" applyBorder="1" applyAlignment="1">
      <alignment horizontal="center"/>
    </xf>
    <xf numFmtId="168" fontId="65" fillId="32" borderId="9" xfId="2" applyFont="1" applyFill="1" applyBorder="1"/>
    <xf numFmtId="168" fontId="65" fillId="32" borderId="9" xfId="2" quotePrefix="1" applyFont="1" applyFill="1" applyBorder="1"/>
    <xf numFmtId="168" fontId="63" fillId="16" borderId="9" xfId="2" applyFont="1" applyFill="1" applyBorder="1"/>
    <xf numFmtId="168" fontId="65" fillId="16" borderId="9" xfId="2" applyFont="1" applyFill="1" applyBorder="1"/>
    <xf numFmtId="173" fontId="65" fillId="0" borderId="9" xfId="2" applyNumberFormat="1" applyFont="1" applyBorder="1" applyAlignment="1">
      <alignment horizontal="left"/>
    </xf>
    <xf numFmtId="172" fontId="65" fillId="13" borderId="9" xfId="2" applyNumberFormat="1" applyFont="1" applyFill="1" applyBorder="1"/>
    <xf numFmtId="168" fontId="65" fillId="0" borderId="9" xfId="2" quotePrefix="1" applyFont="1" applyBorder="1" applyAlignment="1">
      <alignment horizontal="left" vertical="top" wrapText="1"/>
    </xf>
    <xf numFmtId="168" fontId="65" fillId="0" borderId="9" xfId="2" applyFont="1" applyBorder="1" applyAlignment="1">
      <alignment horizontal="center"/>
    </xf>
    <xf numFmtId="0" fontId="32" fillId="0" borderId="9" xfId="0" quotePrefix="1" applyFont="1" applyBorder="1" applyAlignment="1">
      <alignment horizontal="center"/>
    </xf>
    <xf numFmtId="9" fontId="54" fillId="0" borderId="9" xfId="0" quotePrefix="1" applyNumberFormat="1" applyFont="1" applyBorder="1" applyAlignment="1">
      <alignment horizontal="center"/>
    </xf>
    <xf numFmtId="168" fontId="65" fillId="0" borderId="9" xfId="2" quotePrefix="1" applyFont="1" applyBorder="1" applyAlignment="1">
      <alignment horizontal="left" vertical="top"/>
    </xf>
    <xf numFmtId="168" fontId="65" fillId="0" borderId="9" xfId="2" applyFont="1" applyBorder="1" applyAlignment="1">
      <alignment horizontal="left"/>
    </xf>
    <xf numFmtId="17" fontId="0" fillId="0" borderId="0" xfId="0" applyNumberFormat="1" applyAlignment="1">
      <alignment horizontal="center"/>
    </xf>
    <xf numFmtId="49" fontId="42" fillId="0" borderId="9" xfId="0" quotePrefix="1" applyNumberFormat="1" applyFont="1" applyBorder="1"/>
    <xf numFmtId="0" fontId="34" fillId="0" borderId="0" xfId="0" applyFont="1"/>
    <xf numFmtId="17" fontId="54" fillId="31" borderId="9" xfId="0" quotePrefix="1" applyNumberFormat="1" applyFont="1" applyFill="1" applyBorder="1" applyAlignment="1">
      <alignment horizontal="left"/>
    </xf>
    <xf numFmtId="0" fontId="52" fillId="33" borderId="9" xfId="0" quotePrefix="1" applyFont="1" applyFill="1" applyBorder="1"/>
    <xf numFmtId="0" fontId="80" fillId="33" borderId="9" xfId="0" quotePrefix="1" applyFont="1" applyFill="1" applyBorder="1"/>
    <xf numFmtId="0" fontId="30" fillId="0" borderId="9" xfId="0" quotePrefix="1" applyFont="1" applyBorder="1"/>
    <xf numFmtId="0" fontId="29" fillId="4" borderId="9" xfId="0" quotePrefix="1" applyFont="1" applyFill="1" applyBorder="1" applyAlignment="1">
      <alignment horizontal="left"/>
    </xf>
    <xf numFmtId="0" fontId="28" fillId="0" borderId="9" xfId="0" quotePrefix="1" applyFont="1" applyBorder="1" applyAlignment="1">
      <alignment horizontal="left"/>
    </xf>
    <xf numFmtId="0" fontId="27" fillId="4" borderId="9" xfId="0" quotePrefix="1" applyFont="1" applyFill="1" applyBorder="1" applyAlignment="1">
      <alignment horizontal="center"/>
    </xf>
    <xf numFmtId="0" fontId="27" fillId="0" borderId="9" xfId="0" quotePrefix="1" applyFont="1" applyBorder="1"/>
    <xf numFmtId="0" fontId="80" fillId="16" borderId="9" xfId="0" quotePrefix="1" applyFont="1" applyFill="1" applyBorder="1"/>
    <xf numFmtId="0" fontId="98" fillId="33" borderId="9" xfId="0" quotePrefix="1" applyFont="1" applyFill="1" applyBorder="1"/>
    <xf numFmtId="0" fontId="26" fillId="0" borderId="9" xfId="0" quotePrefix="1" applyFont="1" applyBorder="1" applyAlignment="1">
      <alignment horizontal="left"/>
    </xf>
    <xf numFmtId="0" fontId="26" fillId="0" borderId="9" xfId="0" quotePrefix="1" applyFont="1" applyBorder="1"/>
    <xf numFmtId="0" fontId="47" fillId="13" borderId="9" xfId="0" quotePrefix="1" applyFont="1" applyFill="1" applyBorder="1" applyAlignment="1">
      <alignment horizontal="left"/>
    </xf>
    <xf numFmtId="0" fontId="25" fillId="13" borderId="9" xfId="0" quotePrefix="1" applyFont="1" applyFill="1" applyBorder="1" applyAlignment="1">
      <alignment horizontal="left"/>
    </xf>
    <xf numFmtId="49" fontId="24" fillId="0" borderId="9" xfId="0" quotePrefix="1" applyNumberFormat="1" applyFont="1" applyBorder="1" applyAlignment="1">
      <alignment horizontal="left"/>
    </xf>
    <xf numFmtId="0" fontId="100" fillId="0" borderId="0" xfId="0" applyFont="1"/>
    <xf numFmtId="0" fontId="100" fillId="0" borderId="9" xfId="0" quotePrefix="1" applyFont="1" applyBorder="1"/>
    <xf numFmtId="0" fontId="99" fillId="15" borderId="9" xfId="0" quotePrefix="1" applyFont="1" applyFill="1" applyBorder="1"/>
    <xf numFmtId="0" fontId="101" fillId="0" borderId="9" xfId="7" quotePrefix="1" applyFont="1" applyBorder="1"/>
    <xf numFmtId="0" fontId="100" fillId="0" borderId="9" xfId="0" applyFont="1" applyBorder="1"/>
    <xf numFmtId="0" fontId="101" fillId="0" borderId="9" xfId="7" applyFont="1" applyBorder="1"/>
    <xf numFmtId="0" fontId="100" fillId="0" borderId="9" xfId="0" quotePrefix="1" applyFont="1" applyBorder="1" applyAlignment="1">
      <alignment horizontal="left"/>
    </xf>
    <xf numFmtId="0" fontId="101" fillId="13" borderId="9" xfId="7" applyFont="1" applyFill="1" applyBorder="1"/>
    <xf numFmtId="16" fontId="100" fillId="0" borderId="9" xfId="0" quotePrefix="1" applyNumberFormat="1" applyFont="1" applyBorder="1"/>
    <xf numFmtId="0" fontId="23" fillId="0" borderId="9" xfId="0" quotePrefix="1" applyFont="1" applyBorder="1"/>
    <xf numFmtId="0" fontId="22" fillId="0" borderId="9" xfId="0" quotePrefix="1" applyFont="1" applyBorder="1"/>
    <xf numFmtId="168" fontId="65" fillId="13" borderId="9" xfId="2" quotePrefix="1" applyFont="1" applyFill="1" applyBorder="1"/>
    <xf numFmtId="0" fontId="21" fillId="0" borderId="9" xfId="0" quotePrefix="1" applyFont="1" applyBorder="1"/>
    <xf numFmtId="9" fontId="54" fillId="0" borderId="9" xfId="0" quotePrefix="1" applyNumberFormat="1" applyFont="1" applyBorder="1" applyAlignment="1">
      <alignment horizontal="left"/>
    </xf>
    <xf numFmtId="49" fontId="0" fillId="0" borderId="9" xfId="0" applyNumberFormat="1" applyBorder="1"/>
    <xf numFmtId="0" fontId="103" fillId="0" borderId="9" xfId="0" applyFont="1" applyBorder="1" applyAlignment="1">
      <alignment horizontal="center"/>
    </xf>
    <xf numFmtId="0" fontId="103" fillId="0" borderId="9" xfId="0" applyFont="1" applyBorder="1" applyAlignment="1">
      <alignment horizontal="right"/>
    </xf>
    <xf numFmtId="175" fontId="103" fillId="0" borderId="9" xfId="0" applyNumberFormat="1" applyFont="1" applyBorder="1" applyAlignment="1">
      <alignment horizontal="right"/>
    </xf>
    <xf numFmtId="0" fontId="104" fillId="16" borderId="9" xfId="0" applyFont="1" applyFill="1" applyBorder="1" applyAlignment="1">
      <alignment horizontal="center"/>
    </xf>
    <xf numFmtId="17" fontId="104" fillId="16" borderId="9" xfId="0" applyNumberFormat="1" applyFont="1" applyFill="1" applyBorder="1" applyAlignment="1">
      <alignment horizontal="center"/>
    </xf>
    <xf numFmtId="175" fontId="103" fillId="0" borderId="0" xfId="0" applyNumberFormat="1" applyFont="1" applyAlignment="1">
      <alignment horizontal="right"/>
    </xf>
    <xf numFmtId="15" fontId="86" fillId="0" borderId="0" xfId="0" applyNumberFormat="1" applyFont="1"/>
    <xf numFmtId="0" fontId="100" fillId="15" borderId="9" xfId="0" quotePrefix="1" applyFont="1" applyFill="1" applyBorder="1"/>
    <xf numFmtId="0" fontId="20" fillId="0" borderId="9" xfId="0" quotePrefix="1" applyFont="1" applyBorder="1"/>
    <xf numFmtId="0" fontId="19" fillId="0" borderId="9" xfId="0" quotePrefix="1" applyFont="1" applyBorder="1"/>
    <xf numFmtId="0" fontId="19" fillId="0" borderId="9" xfId="0" applyFont="1" applyBorder="1"/>
    <xf numFmtId="0" fontId="19" fillId="11" borderId="9" xfId="0" applyFont="1" applyFill="1" applyBorder="1"/>
    <xf numFmtId="0" fontId="105" fillId="0" borderId="9" xfId="0" quotePrefix="1" applyFont="1" applyBorder="1"/>
    <xf numFmtId="0" fontId="19" fillId="15" borderId="9" xfId="0" applyFont="1" applyFill="1" applyBorder="1"/>
    <xf numFmtId="0" fontId="80" fillId="0" borderId="9" xfId="0" applyFont="1" applyBorder="1"/>
    <xf numFmtId="0" fontId="18" fillId="0" borderId="9" xfId="0" applyFont="1" applyBorder="1"/>
    <xf numFmtId="0" fontId="106" fillId="0" borderId="0" xfId="0" applyFont="1"/>
    <xf numFmtId="0" fontId="86" fillId="13" borderId="9" xfId="0" applyFont="1" applyFill="1" applyBorder="1"/>
    <xf numFmtId="0" fontId="98" fillId="16" borderId="9" xfId="0" applyFont="1" applyFill="1" applyBorder="1"/>
    <xf numFmtId="0" fontId="80" fillId="13" borderId="9" xfId="0" applyFont="1" applyFill="1" applyBorder="1"/>
    <xf numFmtId="1" fontId="107" fillId="16" borderId="21" xfId="2" applyNumberFormat="1" applyFont="1" applyFill="1" applyBorder="1"/>
    <xf numFmtId="1" fontId="107" fillId="16" borderId="22" xfId="2" applyNumberFormat="1" applyFont="1" applyFill="1" applyBorder="1"/>
    <xf numFmtId="0" fontId="19" fillId="0" borderId="0" xfId="0" applyFont="1"/>
    <xf numFmtId="168" fontId="108" fillId="0" borderId="9" xfId="2" applyFont="1" applyBorder="1"/>
    <xf numFmtId="1" fontId="108" fillId="0" borderId="9" xfId="2" applyNumberFormat="1" applyFont="1" applyBorder="1"/>
    <xf numFmtId="174" fontId="108" fillId="0" borderId="9" xfId="2" applyNumberFormat="1" applyFont="1" applyBorder="1"/>
    <xf numFmtId="168" fontId="109" fillId="13" borderId="9" xfId="2" applyFont="1" applyFill="1" applyBorder="1"/>
    <xf numFmtId="1" fontId="109" fillId="15" borderId="9" xfId="2" applyNumberFormat="1" applyFont="1" applyFill="1" applyBorder="1"/>
    <xf numFmtId="168" fontId="62" fillId="16" borderId="0" xfId="2" applyFont="1" applyFill="1"/>
    <xf numFmtId="17" fontId="18" fillId="0" borderId="9" xfId="0" applyNumberFormat="1" applyFont="1" applyBorder="1" applyAlignment="1">
      <alignment horizontal="center"/>
    </xf>
    <xf numFmtId="0" fontId="18" fillId="0" borderId="9" xfId="0" applyFont="1" applyBorder="1" applyAlignment="1">
      <alignment horizontal="center"/>
    </xf>
    <xf numFmtId="0" fontId="19" fillId="13" borderId="9" xfId="0" applyFont="1" applyFill="1" applyBorder="1"/>
    <xf numFmtId="0" fontId="0" fillId="16" borderId="0" xfId="0" applyFill="1" applyAlignment="1">
      <alignment horizontal="center"/>
    </xf>
    <xf numFmtId="0" fontId="0" fillId="16" borderId="0" xfId="0" applyFill="1" applyAlignment="1">
      <alignment horizontal="left"/>
    </xf>
    <xf numFmtId="49" fontId="0" fillId="16" borderId="0" xfId="0" applyNumberFormat="1" applyFill="1"/>
    <xf numFmtId="0" fontId="0" fillId="16" borderId="0" xfId="0" applyFill="1" applyAlignment="1">
      <alignment horizontal="center" vertical="center"/>
    </xf>
    <xf numFmtId="0" fontId="0" fillId="13" borderId="0" xfId="0" applyFill="1" applyAlignment="1">
      <alignment horizontal="center"/>
    </xf>
    <xf numFmtId="0" fontId="0" fillId="13" borderId="0" xfId="0" applyFill="1" applyAlignment="1">
      <alignment horizontal="center" vertical="center"/>
    </xf>
    <xf numFmtId="49" fontId="0" fillId="16" borderId="0" xfId="0" applyNumberFormat="1" applyFill="1" applyAlignment="1">
      <alignment horizontal="left"/>
    </xf>
    <xf numFmtId="0" fontId="17" fillId="0" borderId="9" xfId="0" quotePrefix="1" applyFont="1" applyBorder="1" applyAlignment="1">
      <alignment horizontal="left"/>
    </xf>
    <xf numFmtId="49" fontId="79" fillId="16" borderId="0" xfId="7" applyNumberFormat="1" applyFill="1" applyAlignment="1">
      <alignment horizontal="left"/>
    </xf>
    <xf numFmtId="0" fontId="0" fillId="15" borderId="0" xfId="0" applyFill="1" applyAlignment="1">
      <alignment horizontal="center"/>
    </xf>
    <xf numFmtId="0" fontId="0" fillId="15" borderId="0" xfId="0" applyFill="1" applyAlignment="1">
      <alignment horizontal="center" vertical="center"/>
    </xf>
    <xf numFmtId="0" fontId="16" fillId="0" borderId="9" xfId="0" quotePrefix="1" applyFont="1" applyBorder="1" applyAlignment="1">
      <alignment horizontal="left"/>
    </xf>
    <xf numFmtId="0" fontId="16" fillId="0" borderId="9" xfId="0" quotePrefix="1" applyFont="1" applyBorder="1"/>
    <xf numFmtId="175" fontId="103" fillId="0" borderId="9" xfId="0" applyNumberFormat="1" applyFont="1" applyBorder="1" applyAlignment="1">
      <alignment horizontal="left"/>
    </xf>
    <xf numFmtId="0" fontId="14" fillId="0" borderId="9" xfId="0" applyFont="1" applyBorder="1"/>
    <xf numFmtId="0" fontId="14" fillId="0" borderId="9" xfId="0" quotePrefix="1" applyFont="1" applyBorder="1"/>
    <xf numFmtId="0" fontId="21" fillId="14" borderId="9" xfId="0" quotePrefix="1" applyFont="1" applyFill="1" applyBorder="1"/>
    <xf numFmtId="0" fontId="13" fillId="13" borderId="9" xfId="0" quotePrefix="1" applyFont="1" applyFill="1" applyBorder="1"/>
    <xf numFmtId="0" fontId="13" fillId="0" borderId="9" xfId="0" applyFont="1" applyBorder="1"/>
    <xf numFmtId="0" fontId="13" fillId="13" borderId="9" xfId="0" applyFont="1" applyFill="1" applyBorder="1"/>
    <xf numFmtId="0" fontId="20" fillId="13" borderId="9" xfId="0" quotePrefix="1" applyFont="1" applyFill="1" applyBorder="1"/>
    <xf numFmtId="0" fontId="110" fillId="16" borderId="9" xfId="0" quotePrefix="1" applyFont="1" applyFill="1" applyBorder="1"/>
    <xf numFmtId="0" fontId="14" fillId="15" borderId="9" xfId="0" quotePrefix="1" applyFont="1" applyFill="1" applyBorder="1"/>
    <xf numFmtId="0" fontId="14" fillId="14" borderId="9" xfId="0" quotePrefix="1" applyFont="1" applyFill="1" applyBorder="1"/>
    <xf numFmtId="0" fontId="104" fillId="16" borderId="9" xfId="0" applyFont="1" applyFill="1" applyBorder="1" applyAlignment="1">
      <alignment horizontal="left"/>
    </xf>
    <xf numFmtId="175" fontId="103" fillId="0" borderId="0" xfId="0" applyNumberFormat="1" applyFont="1" applyAlignment="1">
      <alignment horizontal="left"/>
    </xf>
    <xf numFmtId="175" fontId="104" fillId="0" borderId="9" xfId="0" applyNumberFormat="1" applyFont="1" applyBorder="1" applyAlignment="1">
      <alignment horizontal="right"/>
    </xf>
    <xf numFmtId="0" fontId="94" fillId="0" borderId="0" xfId="0" applyFont="1" applyAlignment="1">
      <alignment horizontal="center"/>
    </xf>
    <xf numFmtId="0" fontId="94" fillId="0" borderId="9" xfId="0" applyFont="1" applyBorder="1" applyAlignment="1">
      <alignment horizontal="center"/>
    </xf>
    <xf numFmtId="0" fontId="94" fillId="0" borderId="9" xfId="0" applyFont="1" applyBorder="1" applyAlignment="1">
      <alignment horizontal="left"/>
    </xf>
    <xf numFmtId="0" fontId="94" fillId="0" borderId="9" xfId="0" applyFont="1" applyBorder="1" applyAlignment="1">
      <alignment horizontal="right" vertical="center"/>
    </xf>
    <xf numFmtId="175" fontId="104" fillId="0" borderId="9" xfId="0" applyNumberFormat="1" applyFont="1" applyBorder="1" applyAlignment="1">
      <alignment horizontal="left"/>
    </xf>
    <xf numFmtId="0" fontId="94" fillId="0" borderId="9" xfId="0" applyFont="1" applyBorder="1"/>
    <xf numFmtId="0" fontId="94" fillId="34" borderId="24" xfId="0" applyFont="1" applyFill="1" applyBorder="1" applyAlignment="1">
      <alignment horizontal="center"/>
    </xf>
    <xf numFmtId="49" fontId="54" fillId="4" borderId="9" xfId="0" quotePrefix="1" applyNumberFormat="1" applyFont="1" applyFill="1" applyBorder="1"/>
    <xf numFmtId="0" fontId="45" fillId="4" borderId="9" xfId="0" quotePrefix="1" applyFont="1" applyFill="1" applyBorder="1"/>
    <xf numFmtId="0" fontId="12" fillId="4" borderId="9" xfId="0" quotePrefix="1" applyFont="1" applyFill="1" applyBorder="1" applyAlignment="1">
      <alignment horizontal="center"/>
    </xf>
    <xf numFmtId="1" fontId="54" fillId="4" borderId="9" xfId="0" quotePrefix="1" applyNumberFormat="1" applyFont="1" applyFill="1" applyBorder="1" applyAlignment="1">
      <alignment horizontal="right"/>
    </xf>
    <xf numFmtId="0" fontId="53" fillId="4" borderId="9" xfId="0" quotePrefix="1" applyFont="1" applyFill="1" applyBorder="1" applyAlignment="1">
      <alignment horizontal="center"/>
    </xf>
    <xf numFmtId="0" fontId="51" fillId="4" borderId="9" xfId="0" quotePrefix="1" applyFont="1" applyFill="1" applyBorder="1"/>
    <xf numFmtId="0" fontId="48" fillId="4" borderId="9" xfId="0" quotePrefix="1" applyFont="1" applyFill="1" applyBorder="1"/>
    <xf numFmtId="0" fontId="38" fillId="4" borderId="9" xfId="0" quotePrefix="1" applyFont="1" applyFill="1" applyBorder="1"/>
    <xf numFmtId="0" fontId="12" fillId="4" borderId="9" xfId="0" quotePrefix="1" applyFont="1" applyFill="1" applyBorder="1"/>
    <xf numFmtId="17" fontId="12" fillId="4" borderId="9" xfId="0" quotePrefix="1" applyNumberFormat="1" applyFont="1" applyFill="1" applyBorder="1" applyAlignment="1">
      <alignment horizontal="center"/>
    </xf>
    <xf numFmtId="0" fontId="44" fillId="4" borderId="9" xfId="0" quotePrefix="1" applyFont="1" applyFill="1" applyBorder="1" applyAlignment="1">
      <alignment horizontal="left"/>
    </xf>
    <xf numFmtId="49" fontId="42" fillId="4" borderId="9" xfId="0" quotePrefix="1" applyNumberFormat="1" applyFont="1" applyFill="1" applyBorder="1" applyAlignment="1">
      <alignment horizontal="left"/>
    </xf>
    <xf numFmtId="49" fontId="31" fillId="4" borderId="9" xfId="0" quotePrefix="1" applyNumberFormat="1" applyFont="1" applyFill="1" applyBorder="1"/>
    <xf numFmtId="0" fontId="50" fillId="4" borderId="9" xfId="0" quotePrefix="1" applyFont="1" applyFill="1" applyBorder="1" applyAlignment="1">
      <alignment horizontal="center"/>
    </xf>
    <xf numFmtId="0" fontId="44" fillId="4" borderId="9" xfId="0" quotePrefix="1" applyFont="1" applyFill="1" applyBorder="1" applyAlignment="1">
      <alignment horizontal="center"/>
    </xf>
    <xf numFmtId="0" fontId="0" fillId="4" borderId="0" xfId="0" applyFill="1" applyAlignment="1">
      <alignment horizontal="right" vertical="center"/>
    </xf>
    <xf numFmtId="10" fontId="86" fillId="4" borderId="9" xfId="0" applyNumberFormat="1" applyFont="1" applyFill="1" applyBorder="1"/>
    <xf numFmtId="0" fontId="86" fillId="4" borderId="9" xfId="0" applyFont="1" applyFill="1" applyBorder="1" applyAlignment="1">
      <alignment horizontal="center"/>
    </xf>
    <xf numFmtId="0" fontId="0" fillId="0" borderId="9" xfId="0" applyBorder="1" applyAlignment="1">
      <alignment horizontal="right" vertical="center"/>
    </xf>
    <xf numFmtId="49" fontId="82" fillId="20" borderId="9" xfId="0" quotePrefix="1" applyNumberFormat="1" applyFont="1" applyFill="1" applyBorder="1" applyAlignment="1">
      <alignment horizontal="left"/>
    </xf>
    <xf numFmtId="0" fontId="82" fillId="20" borderId="9" xfId="0" quotePrefix="1" applyFont="1" applyFill="1" applyBorder="1" applyAlignment="1">
      <alignment horizontal="left" vertical="center"/>
    </xf>
    <xf numFmtId="10" fontId="82" fillId="20" borderId="9" xfId="0" quotePrefix="1" applyNumberFormat="1" applyFont="1" applyFill="1" applyBorder="1" applyAlignment="1">
      <alignment horizontal="left"/>
    </xf>
    <xf numFmtId="0" fontId="54" fillId="0" borderId="0" xfId="0" quotePrefix="1" applyFont="1" applyAlignment="1">
      <alignment horizontal="left"/>
    </xf>
    <xf numFmtId="0" fontId="111" fillId="0" borderId="0" xfId="0" applyFont="1"/>
    <xf numFmtId="175" fontId="103" fillId="13" borderId="9" xfId="0" applyNumberFormat="1" applyFont="1" applyFill="1" applyBorder="1" applyAlignment="1">
      <alignment horizontal="left"/>
    </xf>
    <xf numFmtId="175" fontId="104" fillId="15" borderId="9" xfId="0" applyNumberFormat="1" applyFont="1" applyFill="1" applyBorder="1" applyAlignment="1">
      <alignment horizontal="right"/>
    </xf>
    <xf numFmtId="175" fontId="103" fillId="13" borderId="9" xfId="0" applyNumberFormat="1" applyFont="1" applyFill="1" applyBorder="1" applyAlignment="1">
      <alignment horizontal="right"/>
    </xf>
    <xf numFmtId="175" fontId="103" fillId="0" borderId="20" xfId="0" applyNumberFormat="1" applyFont="1" applyBorder="1" applyAlignment="1">
      <alignment horizontal="left"/>
    </xf>
    <xf numFmtId="175" fontId="0" fillId="0" borderId="0" xfId="0" applyNumberFormat="1"/>
    <xf numFmtId="175" fontId="104" fillId="15" borderId="9" xfId="0" applyNumberFormat="1" applyFont="1" applyFill="1" applyBorder="1" applyAlignment="1">
      <alignment horizontal="left"/>
    </xf>
    <xf numFmtId="175" fontId="103" fillId="0" borderId="9" xfId="0" quotePrefix="1" applyNumberFormat="1" applyFont="1" applyBorder="1" applyAlignment="1">
      <alignment horizontal="left"/>
    </xf>
    <xf numFmtId="175" fontId="104" fillId="13" borderId="9" xfId="0" applyNumberFormat="1" applyFont="1" applyFill="1" applyBorder="1" applyAlignment="1">
      <alignment horizontal="right"/>
    </xf>
    <xf numFmtId="175" fontId="104" fillId="13" borderId="9" xfId="0" applyNumberFormat="1" applyFont="1" applyFill="1" applyBorder="1" applyAlignment="1">
      <alignment horizontal="left"/>
    </xf>
    <xf numFmtId="175" fontId="103" fillId="25" borderId="9" xfId="0" applyNumberFormat="1" applyFont="1" applyFill="1" applyBorder="1" applyAlignment="1">
      <alignment horizontal="left"/>
    </xf>
    <xf numFmtId="0" fontId="44" fillId="4" borderId="9" xfId="0" quotePrefix="1" applyFont="1" applyFill="1" applyBorder="1"/>
    <xf numFmtId="49" fontId="40" fillId="4" borderId="9" xfId="0" quotePrefix="1" applyNumberFormat="1" applyFont="1" applyFill="1" applyBorder="1" applyAlignment="1">
      <alignment horizontal="left"/>
    </xf>
    <xf numFmtId="49" fontId="42" fillId="4" borderId="9" xfId="0" quotePrefix="1" applyNumberFormat="1" applyFont="1" applyFill="1" applyBorder="1"/>
    <xf numFmtId="0" fontId="37" fillId="4" borderId="9" xfId="0" quotePrefix="1" applyFont="1" applyFill="1" applyBorder="1" applyAlignment="1">
      <alignment horizontal="center"/>
    </xf>
    <xf numFmtId="0" fontId="11" fillId="4" borderId="9" xfId="0" quotePrefix="1" applyFont="1" applyFill="1" applyBorder="1" applyAlignment="1">
      <alignment horizontal="right" vertical="center"/>
    </xf>
    <xf numFmtId="0" fontId="37" fillId="4" borderId="9" xfId="0" quotePrefix="1" applyFont="1" applyFill="1" applyBorder="1" applyAlignment="1">
      <alignment horizontal="right" vertical="center"/>
    </xf>
    <xf numFmtId="0" fontId="46" fillId="4" borderId="9" xfId="0" quotePrefix="1" applyFont="1" applyFill="1" applyBorder="1" applyAlignment="1">
      <alignment horizontal="left"/>
    </xf>
    <xf numFmtId="0" fontId="0" fillId="4" borderId="9" xfId="0" applyFill="1" applyBorder="1"/>
    <xf numFmtId="0" fontId="111" fillId="4" borderId="0" xfId="0" applyFont="1" applyFill="1"/>
    <xf numFmtId="0" fontId="45" fillId="4" borderId="9" xfId="0" quotePrefix="1" applyFont="1" applyFill="1" applyBorder="1" applyAlignment="1">
      <alignment horizontal="left"/>
    </xf>
    <xf numFmtId="49" fontId="11" fillId="4" borderId="9" xfId="0" quotePrefix="1" applyNumberFormat="1" applyFont="1" applyFill="1" applyBorder="1" applyAlignment="1">
      <alignment horizontal="left"/>
    </xf>
    <xf numFmtId="0" fontId="35" fillId="4" borderId="9" xfId="0" quotePrefix="1" applyFont="1" applyFill="1" applyBorder="1" applyAlignment="1">
      <alignment horizontal="center"/>
    </xf>
    <xf numFmtId="0" fontId="0" fillId="4" borderId="9" xfId="0" applyFill="1" applyBorder="1" applyAlignment="1">
      <alignment horizontal="right" vertical="center"/>
    </xf>
    <xf numFmtId="10" fontId="54" fillId="4" borderId="9" xfId="0" quotePrefix="1" applyNumberFormat="1" applyFont="1" applyFill="1" applyBorder="1" applyAlignment="1">
      <alignment horizontal="center"/>
    </xf>
    <xf numFmtId="10" fontId="54" fillId="30" borderId="9" xfId="0" quotePrefix="1" applyNumberFormat="1" applyFont="1" applyFill="1" applyBorder="1" applyAlignment="1">
      <alignment horizontal="center"/>
    </xf>
    <xf numFmtId="175" fontId="103" fillId="34" borderId="9" xfId="0" applyNumberFormat="1" applyFont="1" applyFill="1" applyBorder="1" applyAlignment="1">
      <alignment horizontal="left"/>
    </xf>
    <xf numFmtId="175" fontId="103" fillId="0" borderId="9" xfId="0" applyNumberFormat="1" applyFont="1" applyBorder="1" applyAlignment="1">
      <alignment horizontal="center"/>
    </xf>
    <xf numFmtId="175" fontId="103" fillId="15" borderId="9" xfId="0" applyNumberFormat="1" applyFont="1" applyFill="1" applyBorder="1" applyAlignment="1">
      <alignment horizontal="right"/>
    </xf>
    <xf numFmtId="0" fontId="104" fillId="16" borderId="10" xfId="0" applyFont="1" applyFill="1" applyBorder="1" applyAlignment="1">
      <alignment horizontal="left"/>
    </xf>
    <xf numFmtId="0" fontId="104" fillId="26" borderId="9" xfId="0" applyFont="1" applyFill="1" applyBorder="1" applyAlignment="1">
      <alignment horizontal="left"/>
    </xf>
    <xf numFmtId="0" fontId="103" fillId="26" borderId="9" xfId="0" applyFont="1" applyFill="1" applyBorder="1" applyAlignment="1">
      <alignment horizontal="left"/>
    </xf>
    <xf numFmtId="49" fontId="10" fillId="4" borderId="9" xfId="0" quotePrefix="1" applyNumberFormat="1" applyFont="1" applyFill="1" applyBorder="1" applyAlignment="1">
      <alignment horizontal="left"/>
    </xf>
    <xf numFmtId="17" fontId="10" fillId="4" borderId="9" xfId="0" quotePrefix="1" applyNumberFormat="1" applyFont="1" applyFill="1" applyBorder="1" applyAlignment="1">
      <alignment horizontal="left"/>
    </xf>
    <xf numFmtId="0" fontId="94" fillId="16" borderId="9" xfId="0" applyFont="1" applyFill="1" applyBorder="1"/>
    <xf numFmtId="0" fontId="103" fillId="26" borderId="9" xfId="0" applyFont="1" applyFill="1" applyBorder="1" applyAlignment="1">
      <alignment horizontal="right"/>
    </xf>
    <xf numFmtId="9" fontId="103" fillId="34" borderId="9" xfId="0" quotePrefix="1" applyNumberFormat="1" applyFont="1" applyFill="1" applyBorder="1"/>
    <xf numFmtId="0" fontId="104" fillId="16" borderId="9" xfId="0" quotePrefix="1" applyFont="1" applyFill="1" applyBorder="1" applyAlignment="1">
      <alignment horizontal="left"/>
    </xf>
    <xf numFmtId="1" fontId="103" fillId="26" borderId="9" xfId="0" applyNumberFormat="1" applyFont="1" applyFill="1" applyBorder="1" applyAlignment="1">
      <alignment horizontal="right"/>
    </xf>
    <xf numFmtId="0" fontId="103" fillId="29" borderId="9" xfId="0" applyFont="1" applyFill="1" applyBorder="1" applyAlignment="1">
      <alignment horizontal="left"/>
    </xf>
    <xf numFmtId="0" fontId="103" fillId="34" borderId="9" xfId="0" applyFont="1" applyFill="1" applyBorder="1" applyAlignment="1">
      <alignment horizontal="right"/>
    </xf>
    <xf numFmtId="9" fontId="103" fillId="14" borderId="9" xfId="0" quotePrefix="1" applyNumberFormat="1" applyFont="1" applyFill="1" applyBorder="1"/>
    <xf numFmtId="0" fontId="112" fillId="16" borderId="9" xfId="0" applyFont="1" applyFill="1" applyBorder="1" applyAlignment="1">
      <alignment horizontal="left"/>
    </xf>
    <xf numFmtId="10" fontId="54" fillId="33" borderId="9" xfId="0" quotePrefix="1" applyNumberFormat="1" applyFont="1" applyFill="1" applyBorder="1"/>
    <xf numFmtId="0" fontId="44" fillId="33" borderId="9" xfId="0" quotePrefix="1" applyFont="1" applyFill="1" applyBorder="1"/>
    <xf numFmtId="10" fontId="54" fillId="36" borderId="9" xfId="0" quotePrefix="1" applyNumberFormat="1" applyFont="1" applyFill="1" applyBorder="1" applyAlignment="1">
      <alignment horizontal="center"/>
    </xf>
    <xf numFmtId="0" fontId="43" fillId="13" borderId="24" xfId="0" quotePrefix="1" applyFont="1" applyFill="1" applyBorder="1"/>
    <xf numFmtId="175" fontId="103" fillId="0" borderId="0" xfId="0" applyNumberFormat="1" applyFont="1" applyAlignment="1">
      <alignment horizontal="center"/>
    </xf>
    <xf numFmtId="0" fontId="0" fillId="0" borderId="0" xfId="0" quotePrefix="1" applyAlignment="1">
      <alignment horizontal="left" vertical="top" wrapText="1"/>
    </xf>
    <xf numFmtId="0" fontId="9" fillId="0" borderId="9" xfId="0" applyFont="1" applyBorder="1"/>
    <xf numFmtId="168" fontId="107" fillId="16" borderId="9" xfId="2" applyFont="1" applyFill="1" applyBorder="1"/>
    <xf numFmtId="168" fontId="63" fillId="34" borderId="9" xfId="2" applyFont="1" applyFill="1" applyBorder="1"/>
    <xf numFmtId="0" fontId="8" fillId="0" borderId="9" xfId="0" applyFont="1" applyBorder="1"/>
    <xf numFmtId="0" fontId="7" fillId="4" borderId="9" xfId="0" quotePrefix="1" applyFont="1" applyFill="1" applyBorder="1"/>
    <xf numFmtId="175" fontId="0" fillId="0" borderId="9" xfId="0" applyNumberFormat="1" applyBorder="1"/>
    <xf numFmtId="18" fontId="103" fillId="26" borderId="9" xfId="0" applyNumberFormat="1" applyFont="1" applyFill="1" applyBorder="1" applyAlignment="1">
      <alignment horizontal="left"/>
    </xf>
    <xf numFmtId="0" fontId="104" fillId="0" borderId="9" xfId="0" applyFont="1" applyBorder="1"/>
    <xf numFmtId="175" fontId="104" fillId="0" borderId="21" xfId="0" applyNumberFormat="1" applyFont="1" applyBorder="1"/>
    <xf numFmtId="175" fontId="103" fillId="0" borderId="21" xfId="0" applyNumberFormat="1" applyFont="1" applyBorder="1" applyAlignment="1">
      <alignment horizontal="left"/>
    </xf>
    <xf numFmtId="0" fontId="0" fillId="0" borderId="21" xfId="0" applyBorder="1"/>
    <xf numFmtId="175" fontId="103" fillId="0" borderId="21" xfId="0" applyNumberFormat="1" applyFont="1" applyBorder="1" applyAlignment="1">
      <alignment horizontal="right"/>
    </xf>
    <xf numFmtId="175" fontId="103" fillId="0" borderId="21" xfId="0" quotePrefix="1" applyNumberFormat="1" applyFont="1" applyBorder="1" applyAlignment="1">
      <alignment horizontal="left"/>
    </xf>
    <xf numFmtId="175" fontId="103" fillId="0" borderId="22" xfId="0" applyNumberFormat="1" applyFont="1" applyBorder="1" applyAlignment="1">
      <alignment horizontal="left"/>
    </xf>
    <xf numFmtId="175" fontId="103" fillId="0" borderId="22" xfId="0" applyNumberFormat="1" applyFont="1" applyBorder="1" applyAlignment="1">
      <alignment horizontal="center"/>
    </xf>
    <xf numFmtId="175" fontId="104" fillId="0" borderId="9" xfId="0" applyNumberFormat="1" applyFont="1" applyBorder="1"/>
    <xf numFmtId="0" fontId="0" fillId="16" borderId="9" xfId="0" applyFill="1" applyBorder="1"/>
    <xf numFmtId="0" fontId="104" fillId="0" borderId="0" xfId="0" applyFont="1"/>
    <xf numFmtId="0" fontId="104" fillId="0" borderId="9" xfId="0" quotePrefix="1" applyFont="1" applyBorder="1"/>
    <xf numFmtId="0" fontId="96" fillId="16" borderId="9" xfId="0" quotePrefix="1" applyFont="1" applyFill="1" applyBorder="1"/>
    <xf numFmtId="0" fontId="113" fillId="16" borderId="9" xfId="0" quotePrefix="1" applyFont="1" applyFill="1" applyBorder="1"/>
    <xf numFmtId="0" fontId="99" fillId="0" borderId="0" xfId="0" applyFont="1"/>
    <xf numFmtId="0" fontId="100" fillId="0" borderId="0" xfId="0" quotePrefix="1" applyFont="1"/>
    <xf numFmtId="0" fontId="99" fillId="15" borderId="0" xfId="0" quotePrefix="1" applyFont="1" applyFill="1"/>
    <xf numFmtId="0" fontId="114" fillId="0" borderId="21" xfId="0" applyFont="1" applyBorder="1"/>
    <xf numFmtId="0" fontId="115" fillId="16" borderId="29" xfId="0" quotePrefix="1" applyFont="1" applyFill="1" applyBorder="1"/>
    <xf numFmtId="0" fontId="115" fillId="16" borderId="30" xfId="0" quotePrefix="1" applyFont="1" applyFill="1" applyBorder="1"/>
    <xf numFmtId="0" fontId="115" fillId="16" borderId="31" xfId="0" quotePrefix="1" applyFont="1" applyFill="1" applyBorder="1"/>
    <xf numFmtId="0" fontId="101" fillId="0" borderId="0" xfId="7" applyFont="1"/>
    <xf numFmtId="0" fontId="96" fillId="16" borderId="10" xfId="0" quotePrefix="1" applyFont="1" applyFill="1" applyBorder="1"/>
    <xf numFmtId="0" fontId="100" fillId="0" borderId="9" xfId="0" applyFont="1" applyBorder="1" applyAlignment="1">
      <alignment horizontal="left"/>
    </xf>
    <xf numFmtId="0" fontId="100" fillId="4" borderId="9" xfId="0" quotePrefix="1" applyFont="1" applyFill="1" applyBorder="1"/>
    <xf numFmtId="2" fontId="100" fillId="0" borderId="9" xfId="0" applyNumberFormat="1" applyFont="1" applyBorder="1"/>
    <xf numFmtId="0" fontId="102" fillId="0" borderId="9" xfId="0" applyFont="1" applyBorder="1" applyAlignment="1">
      <alignment wrapText="1"/>
    </xf>
    <xf numFmtId="168" fontId="85" fillId="0" borderId="0" xfId="2" applyFont="1"/>
    <xf numFmtId="0" fontId="100" fillId="0" borderId="9" xfId="0" applyFont="1" applyBorder="1" applyAlignment="1">
      <alignment horizontal="right"/>
    </xf>
    <xf numFmtId="0" fontId="99" fillId="16" borderId="9" xfId="0" quotePrefix="1" applyFont="1" applyFill="1" applyBorder="1"/>
    <xf numFmtId="168" fontId="85" fillId="0" borderId="0" xfId="2" applyFont="1" applyAlignment="1">
      <alignment horizontal="left"/>
    </xf>
    <xf numFmtId="168" fontId="84" fillId="37" borderId="9" xfId="2" applyFont="1" applyFill="1" applyBorder="1"/>
    <xf numFmtId="0" fontId="96" fillId="0" borderId="0" xfId="0" applyFont="1"/>
    <xf numFmtId="168" fontId="117" fillId="0" borderId="0" xfId="2" applyFont="1"/>
    <xf numFmtId="15" fontId="100" fillId="0" borderId="9" xfId="0" applyNumberFormat="1" applyFont="1" applyBorder="1"/>
    <xf numFmtId="15" fontId="103" fillId="26" borderId="9" xfId="0" applyNumberFormat="1" applyFont="1" applyFill="1" applyBorder="1" applyAlignment="1">
      <alignment horizontal="left"/>
    </xf>
    <xf numFmtId="3" fontId="103" fillId="26" borderId="9" xfId="0" applyNumberFormat="1" applyFont="1" applyFill="1" applyBorder="1" applyAlignment="1">
      <alignment horizontal="right"/>
    </xf>
    <xf numFmtId="168" fontId="85" fillId="15" borderId="9" xfId="2" applyFont="1" applyFill="1" applyBorder="1" applyAlignment="1">
      <alignment horizontal="left"/>
    </xf>
    <xf numFmtId="168" fontId="85" fillId="13" borderId="9" xfId="2" applyFont="1" applyFill="1" applyBorder="1" applyAlignment="1">
      <alignment horizontal="left"/>
    </xf>
    <xf numFmtId="168" fontId="85" fillId="13" borderId="9" xfId="2" applyFont="1" applyFill="1" applyBorder="1"/>
    <xf numFmtId="0" fontId="0" fillId="16" borderId="10" xfId="0" applyFill="1" applyBorder="1"/>
    <xf numFmtId="0" fontId="104" fillId="0" borderId="0" xfId="0" quotePrefix="1" applyFont="1"/>
    <xf numFmtId="0" fontId="0" fillId="0" borderId="10" xfId="0" applyBorder="1"/>
    <xf numFmtId="0" fontId="103" fillId="26" borderId="10" xfId="0" applyFont="1" applyFill="1" applyBorder="1" applyAlignment="1">
      <alignment horizontal="left"/>
    </xf>
    <xf numFmtId="9" fontId="103" fillId="26" borderId="9" xfId="0" applyNumberFormat="1" applyFont="1" applyFill="1" applyBorder="1" applyAlignment="1">
      <alignment horizontal="left"/>
    </xf>
    <xf numFmtId="10" fontId="103" fillId="26" borderId="9" xfId="0" applyNumberFormat="1" applyFont="1" applyFill="1" applyBorder="1" applyAlignment="1">
      <alignment horizontal="left"/>
    </xf>
    <xf numFmtId="175" fontId="104" fillId="26" borderId="9" xfId="0" applyNumberFormat="1" applyFont="1" applyFill="1" applyBorder="1" applyAlignment="1">
      <alignment horizontal="right"/>
    </xf>
    <xf numFmtId="168" fontId="65" fillId="15" borderId="9" xfId="2" quotePrefix="1" applyFont="1" applyFill="1" applyBorder="1"/>
    <xf numFmtId="168" fontId="65" fillId="15" borderId="9" xfId="2" applyFont="1" applyFill="1" applyBorder="1"/>
    <xf numFmtId="172" fontId="65" fillId="15" borderId="9" xfId="2" applyNumberFormat="1" applyFont="1" applyFill="1" applyBorder="1"/>
    <xf numFmtId="1" fontId="65" fillId="15" borderId="9" xfId="2" applyNumberFormat="1" applyFont="1" applyFill="1" applyBorder="1" applyAlignment="1">
      <alignment horizontal="right" vertical="center"/>
    </xf>
    <xf numFmtId="1" fontId="65" fillId="25" borderId="9" xfId="2" applyNumberFormat="1" applyFont="1" applyFill="1" applyBorder="1" applyAlignment="1">
      <alignment horizontal="right" vertical="center"/>
    </xf>
    <xf numFmtId="1" fontId="63" fillId="16" borderId="9" xfId="2" applyNumberFormat="1" applyFont="1" applyFill="1" applyBorder="1" applyAlignment="1">
      <alignment horizontal="center"/>
    </xf>
    <xf numFmtId="1" fontId="65" fillId="13" borderId="9" xfId="2" applyNumberFormat="1" applyFont="1" applyFill="1" applyBorder="1" applyAlignment="1">
      <alignment horizontal="right" vertical="center"/>
    </xf>
    <xf numFmtId="168" fontId="63" fillId="16" borderId="9" xfId="2" applyFont="1" applyFill="1" applyBorder="1" applyAlignment="1">
      <alignment horizontal="center"/>
    </xf>
    <xf numFmtId="168" fontId="63" fillId="16" borderId="9" xfId="2" applyFont="1" applyFill="1" applyBorder="1" applyAlignment="1">
      <alignment horizontal="left"/>
    </xf>
    <xf numFmtId="1" fontId="63" fillId="15" borderId="9" xfId="2" quotePrefix="1" applyNumberFormat="1" applyFont="1" applyFill="1" applyBorder="1" applyAlignment="1">
      <alignment horizontal="right" vertical="center"/>
    </xf>
    <xf numFmtId="0" fontId="99" fillId="13" borderId="0" xfId="0" applyFont="1" applyFill="1"/>
    <xf numFmtId="0" fontId="6" fillId="0" borderId="9" xfId="0" applyFont="1" applyBorder="1"/>
    <xf numFmtId="168" fontId="63" fillId="15" borderId="9" xfId="2" applyFont="1" applyFill="1" applyBorder="1"/>
    <xf numFmtId="1" fontId="64" fillId="16" borderId="9" xfId="2" applyNumberFormat="1" applyFont="1" applyFill="1" applyBorder="1" applyAlignment="1">
      <alignment horizontal="left"/>
    </xf>
    <xf numFmtId="1" fontId="64" fillId="16" borderId="10" xfId="2" applyNumberFormat="1" applyFont="1" applyFill="1" applyBorder="1" applyAlignment="1">
      <alignment horizontal="left"/>
    </xf>
    <xf numFmtId="1" fontId="63" fillId="16" borderId="10" xfId="2" applyNumberFormat="1" applyFont="1" applyFill="1" applyBorder="1" applyAlignment="1">
      <alignment horizontal="center"/>
    </xf>
    <xf numFmtId="1" fontId="64" fillId="38" borderId="9" xfId="2" applyNumberFormat="1" applyFont="1" applyFill="1" applyBorder="1" applyAlignment="1">
      <alignment horizontal="left"/>
    </xf>
    <xf numFmtId="3" fontId="65" fillId="15" borderId="9" xfId="2" applyNumberFormat="1" applyFont="1" applyFill="1" applyBorder="1" applyAlignment="1">
      <alignment horizontal="right" vertical="center"/>
    </xf>
    <xf numFmtId="3" fontId="65" fillId="15" borderId="9" xfId="2" applyNumberFormat="1" applyFont="1" applyFill="1" applyBorder="1"/>
    <xf numFmtId="1" fontId="63" fillId="15" borderId="9" xfId="2" applyNumberFormat="1" applyFont="1" applyFill="1" applyBorder="1" applyAlignment="1">
      <alignment horizontal="right"/>
    </xf>
    <xf numFmtId="3" fontId="65" fillId="25" borderId="9" xfId="2" applyNumberFormat="1" applyFont="1" applyFill="1" applyBorder="1"/>
    <xf numFmtId="3" fontId="63" fillId="15" borderId="9" xfId="2" applyNumberFormat="1" applyFont="1" applyFill="1" applyBorder="1"/>
    <xf numFmtId="0" fontId="100" fillId="13" borderId="9" xfId="0" applyFont="1" applyFill="1" applyBorder="1"/>
    <xf numFmtId="0" fontId="37" fillId="4" borderId="9" xfId="0" quotePrefix="1" applyFont="1" applyFill="1" applyBorder="1" applyAlignment="1">
      <alignment horizontal="left"/>
    </xf>
    <xf numFmtId="0" fontId="36" fillId="4" borderId="9" xfId="0" quotePrefix="1" applyFont="1" applyFill="1" applyBorder="1" applyAlignment="1">
      <alignment horizontal="center"/>
    </xf>
    <xf numFmtId="0" fontId="0" fillId="4" borderId="9" xfId="0" applyFill="1" applyBorder="1" applyAlignment="1">
      <alignment horizontal="center"/>
    </xf>
    <xf numFmtId="1" fontId="37" fillId="4" borderId="9" xfId="0" quotePrefix="1" applyNumberFormat="1" applyFont="1" applyFill="1" applyBorder="1" applyAlignment="1">
      <alignment horizontal="right" vertical="center"/>
    </xf>
    <xf numFmtId="10" fontId="0" fillId="4" borderId="9" xfId="0" applyNumberFormat="1" applyFill="1" applyBorder="1"/>
    <xf numFmtId="0" fontId="5" fillId="4" borderId="9" xfId="0" quotePrefix="1" applyFont="1" applyFill="1" applyBorder="1"/>
    <xf numFmtId="0" fontId="119" fillId="0" borderId="0" xfId="0" applyFont="1"/>
    <xf numFmtId="0" fontId="120" fillId="4" borderId="9" xfId="0" quotePrefix="1" applyFont="1" applyFill="1" applyBorder="1"/>
    <xf numFmtId="0" fontId="103" fillId="0" borderId="0" xfId="0" applyFont="1"/>
    <xf numFmtId="0" fontId="103" fillId="0" borderId="9" xfId="0" quotePrefix="1" applyFont="1" applyBorder="1"/>
    <xf numFmtId="0" fontId="103" fillId="0" borderId="0" xfId="0" quotePrefix="1" applyFont="1"/>
    <xf numFmtId="0" fontId="103" fillId="0" borderId="0" xfId="0" applyFont="1" applyAlignment="1">
      <alignment horizontal="center"/>
    </xf>
    <xf numFmtId="0" fontId="120" fillId="0" borderId="0" xfId="0" applyFont="1"/>
    <xf numFmtId="0" fontId="120" fillId="4" borderId="9" xfId="0" applyFont="1" applyFill="1" applyBorder="1"/>
    <xf numFmtId="0" fontId="103" fillId="0" borderId="9" xfId="0" applyFont="1" applyBorder="1"/>
    <xf numFmtId="3" fontId="103" fillId="0" borderId="9" xfId="0" quotePrefix="1" applyNumberFormat="1" applyFont="1" applyBorder="1" applyAlignment="1">
      <alignment horizontal="right"/>
    </xf>
    <xf numFmtId="9" fontId="103" fillId="0" borderId="9" xfId="0" quotePrefix="1" applyNumberFormat="1" applyFont="1" applyBorder="1"/>
    <xf numFmtId="0" fontId="103" fillId="13" borderId="0" xfId="0" applyFont="1" applyFill="1"/>
    <xf numFmtId="0" fontId="103" fillId="13" borderId="9" xfId="0" quotePrefix="1" applyFont="1" applyFill="1" applyBorder="1"/>
    <xf numFmtId="0" fontId="103" fillId="0" borderId="0" xfId="0" applyFont="1" applyAlignment="1">
      <alignment wrapText="1"/>
    </xf>
    <xf numFmtId="0" fontId="104" fillId="16" borderId="9" xfId="0" quotePrefix="1" applyFont="1" applyFill="1" applyBorder="1"/>
    <xf numFmtId="0" fontId="103" fillId="0" borderId="0" xfId="0" applyFont="1" applyAlignment="1">
      <alignment horizontal="right" vertical="center"/>
    </xf>
    <xf numFmtId="0" fontId="103" fillId="0" borderId="0" xfId="0" applyFont="1" applyAlignment="1">
      <alignment horizontal="left"/>
    </xf>
    <xf numFmtId="49" fontId="103" fillId="0" borderId="0" xfId="0" applyNumberFormat="1" applyFont="1"/>
    <xf numFmtId="0" fontId="103" fillId="0" borderId="28" xfId="0" applyFont="1" applyBorder="1"/>
    <xf numFmtId="0" fontId="122" fillId="16" borderId="9" xfId="0" quotePrefix="1" applyFont="1" applyFill="1" applyBorder="1"/>
    <xf numFmtId="0" fontId="123" fillId="16" borderId="9" xfId="0" quotePrefix="1" applyFont="1" applyFill="1" applyBorder="1"/>
    <xf numFmtId="0" fontId="124" fillId="16" borderId="9" xfId="0" quotePrefix="1" applyFont="1" applyFill="1" applyBorder="1"/>
    <xf numFmtId="0" fontId="104" fillId="16" borderId="9" xfId="0" quotePrefix="1" applyFont="1" applyFill="1" applyBorder="1" applyAlignment="1">
      <alignment horizontal="center"/>
    </xf>
    <xf numFmtId="0" fontId="104" fillId="25" borderId="9" xfId="0" quotePrefix="1" applyFont="1" applyFill="1" applyBorder="1"/>
    <xf numFmtId="16" fontId="104" fillId="0" borderId="0" xfId="0" applyNumberFormat="1" applyFont="1"/>
    <xf numFmtId="0" fontId="120" fillId="4" borderId="9" xfId="0" quotePrefix="1" applyFont="1" applyFill="1" applyBorder="1" applyAlignment="1">
      <alignment horizontal="left"/>
    </xf>
    <xf numFmtId="0" fontId="103" fillId="13" borderId="9" xfId="0" applyFont="1" applyFill="1" applyBorder="1"/>
    <xf numFmtId="0" fontId="120" fillId="13" borderId="9" xfId="0" quotePrefix="1" applyFont="1" applyFill="1" applyBorder="1" applyAlignment="1">
      <alignment horizontal="right"/>
    </xf>
    <xf numFmtId="0" fontId="100" fillId="34" borderId="9" xfId="0" quotePrefix="1" applyFont="1" applyFill="1" applyBorder="1"/>
    <xf numFmtId="0" fontId="103" fillId="26" borderId="9" xfId="0" quotePrefix="1" applyFont="1" applyFill="1" applyBorder="1" applyAlignment="1">
      <alignment horizontal="left"/>
    </xf>
    <xf numFmtId="0" fontId="124" fillId="16" borderId="9" xfId="0" applyFont="1" applyFill="1" applyBorder="1" applyAlignment="1">
      <alignment horizontal="left"/>
    </xf>
    <xf numFmtId="0" fontId="103" fillId="13" borderId="9" xfId="0" applyFont="1" applyFill="1" applyBorder="1" applyAlignment="1">
      <alignment horizontal="left"/>
    </xf>
    <xf numFmtId="0" fontId="4" fillId="0" borderId="9" xfId="0" applyFont="1" applyBorder="1"/>
    <xf numFmtId="3" fontId="103" fillId="34" borderId="9" xfId="0" quotePrefix="1" applyNumberFormat="1" applyFont="1" applyFill="1" applyBorder="1" applyAlignment="1">
      <alignment horizontal="right"/>
    </xf>
    <xf numFmtId="0" fontId="9" fillId="0" borderId="0" xfId="0" applyFont="1"/>
    <xf numFmtId="0" fontId="8" fillId="0" borderId="0" xfId="0" applyFont="1"/>
    <xf numFmtId="0" fontId="98" fillId="35" borderId="9" xfId="0" applyFont="1" applyFill="1" applyBorder="1"/>
    <xf numFmtId="1" fontId="125" fillId="0" borderId="0" xfId="2" applyNumberFormat="1" applyFont="1"/>
    <xf numFmtId="168" fontId="125" fillId="0" borderId="0" xfId="2" applyFont="1" applyAlignment="1">
      <alignment horizontal="center"/>
    </xf>
    <xf numFmtId="168" fontId="125" fillId="0" borderId="0" xfId="2" applyFont="1"/>
    <xf numFmtId="0" fontId="103" fillId="26" borderId="9" xfId="0" quotePrefix="1" applyFont="1" applyFill="1" applyBorder="1" applyAlignment="1">
      <alignment horizontal="left" wrapText="1"/>
    </xf>
    <xf numFmtId="0" fontId="0" fillId="0" borderId="9" xfId="0" quotePrefix="1" applyBorder="1"/>
    <xf numFmtId="0" fontId="126" fillId="0" borderId="0" xfId="0" applyFont="1" applyAlignment="1">
      <alignment horizontal="left" vertical="center" wrapText="1" indent="1"/>
    </xf>
    <xf numFmtId="0" fontId="126" fillId="0" borderId="9" xfId="0" applyFont="1" applyBorder="1"/>
    <xf numFmtId="0" fontId="100" fillId="39" borderId="9" xfId="0" quotePrefix="1" applyFont="1" applyFill="1" applyBorder="1"/>
    <xf numFmtId="0" fontId="100" fillId="16" borderId="9" xfId="0" applyFont="1" applyFill="1" applyBorder="1"/>
    <xf numFmtId="15" fontId="100" fillId="0" borderId="0" xfId="0" applyNumberFormat="1" applyFont="1"/>
    <xf numFmtId="3" fontId="84" fillId="3" borderId="9" xfId="2" applyNumberFormat="1" applyFont="1" applyFill="1" applyBorder="1"/>
    <xf numFmtId="168" fontId="127" fillId="37" borderId="9" xfId="2" applyFont="1" applyFill="1" applyBorder="1"/>
    <xf numFmtId="168" fontId="85" fillId="0" borderId="9" xfId="2" quotePrefix="1" applyFont="1" applyBorder="1"/>
    <xf numFmtId="168" fontId="99" fillId="15" borderId="9" xfId="0" applyNumberFormat="1" applyFont="1" applyFill="1" applyBorder="1"/>
    <xf numFmtId="0" fontId="0" fillId="13" borderId="9" xfId="0" applyFill="1" applyBorder="1"/>
    <xf numFmtId="0" fontId="3" fillId="0" borderId="9" xfId="0" applyFont="1" applyBorder="1"/>
    <xf numFmtId="0" fontId="100" fillId="29" borderId="9" xfId="0" applyFont="1" applyFill="1" applyBorder="1"/>
    <xf numFmtId="0" fontId="100" fillId="29" borderId="9" xfId="0" quotePrefix="1" applyFont="1" applyFill="1" applyBorder="1"/>
    <xf numFmtId="175" fontId="103" fillId="14" borderId="9" xfId="0" applyNumberFormat="1" applyFont="1" applyFill="1" applyBorder="1" applyAlignment="1">
      <alignment horizontal="right"/>
    </xf>
    <xf numFmtId="0" fontId="0" fillId="36" borderId="9" xfId="0" applyFill="1" applyBorder="1"/>
    <xf numFmtId="0" fontId="0" fillId="40" borderId="9" xfId="0" applyFill="1" applyBorder="1"/>
    <xf numFmtId="0" fontId="0" fillId="14" borderId="9" xfId="0" applyFill="1" applyBorder="1"/>
    <xf numFmtId="0" fontId="0" fillId="21" borderId="9" xfId="0" applyFill="1" applyBorder="1"/>
    <xf numFmtId="0" fontId="123" fillId="35" borderId="10" xfId="0" applyFont="1" applyFill="1" applyBorder="1" applyAlignment="1">
      <alignment horizontal="left"/>
    </xf>
    <xf numFmtId="0" fontId="0" fillId="34" borderId="0" xfId="0" applyFill="1"/>
    <xf numFmtId="17" fontId="0" fillId="0" borderId="0" xfId="0" applyNumberFormat="1"/>
    <xf numFmtId="1" fontId="0" fillId="0" borderId="0" xfId="0" applyNumberFormat="1"/>
    <xf numFmtId="0" fontId="128" fillId="0" borderId="0" xfId="0" applyFont="1"/>
    <xf numFmtId="1" fontId="103" fillId="34" borderId="9" xfId="0" applyNumberFormat="1" applyFont="1" applyFill="1" applyBorder="1" applyAlignment="1">
      <alignment horizontal="right"/>
    </xf>
    <xf numFmtId="1" fontId="104" fillId="34" borderId="9" xfId="0" applyNumberFormat="1" applyFont="1" applyFill="1" applyBorder="1" applyAlignment="1">
      <alignment horizontal="right"/>
    </xf>
    <xf numFmtId="0" fontId="104" fillId="34" borderId="9" xfId="0" applyFont="1" applyFill="1" applyBorder="1" applyAlignment="1">
      <alignment horizontal="right"/>
    </xf>
    <xf numFmtId="9" fontId="94" fillId="34" borderId="9" xfId="0" applyNumberFormat="1" applyFont="1" applyFill="1" applyBorder="1" applyAlignment="1">
      <alignment horizontal="right"/>
    </xf>
    <xf numFmtId="0" fontId="0" fillId="34" borderId="9" xfId="0" applyFill="1" applyBorder="1"/>
    <xf numFmtId="0" fontId="100" fillId="0" borderId="9" xfId="0" applyFont="1" applyBorder="1" applyAlignment="1">
      <alignment horizontal="center"/>
    </xf>
    <xf numFmtId="168" fontId="91" fillId="0" borderId="0" xfId="2" applyFont="1"/>
    <xf numFmtId="168" fontId="91" fillId="0" borderId="0" xfId="2" quotePrefix="1" applyFont="1"/>
    <xf numFmtId="168" fontId="91" fillId="0" borderId="20" xfId="2" applyFont="1" applyBorder="1"/>
    <xf numFmtId="0" fontId="0" fillId="0" borderId="0" xfId="0" applyAlignment="1">
      <alignment wrapText="1"/>
    </xf>
    <xf numFmtId="9" fontId="2" fillId="29" borderId="9" xfId="0" quotePrefix="1" applyNumberFormat="1" applyFont="1" applyFill="1" applyBorder="1" applyAlignment="1">
      <alignment horizontal="left"/>
    </xf>
    <xf numFmtId="9" fontId="47" fillId="29" borderId="9" xfId="0" quotePrefix="1" applyNumberFormat="1" applyFont="1" applyFill="1" applyBorder="1" applyAlignment="1">
      <alignment horizontal="left"/>
    </xf>
    <xf numFmtId="3" fontId="103" fillId="34" borderId="9" xfId="0" applyNumberFormat="1" applyFont="1" applyFill="1" applyBorder="1" applyAlignment="1">
      <alignment horizontal="right"/>
    </xf>
    <xf numFmtId="168" fontId="92" fillId="12" borderId="9" xfId="2" applyFont="1" applyFill="1" applyBorder="1" applyAlignment="1">
      <alignment horizontal="left"/>
    </xf>
    <xf numFmtId="0" fontId="103" fillId="26" borderId="0" xfId="0" applyFont="1" applyFill="1" applyAlignment="1">
      <alignment horizontal="left"/>
    </xf>
    <xf numFmtId="0" fontId="103" fillId="26" borderId="0" xfId="0" quotePrefix="1" applyFont="1" applyFill="1" applyAlignment="1">
      <alignment horizontal="left"/>
    </xf>
    <xf numFmtId="168" fontId="129" fillId="0" borderId="9" xfId="2" applyFont="1" applyBorder="1" applyAlignment="1">
      <alignment horizontal="left"/>
    </xf>
    <xf numFmtId="168" fontId="92" fillId="16" borderId="9" xfId="2" applyFont="1" applyFill="1" applyBorder="1"/>
    <xf numFmtId="168" fontId="91" fillId="0" borderId="0" xfId="2" applyFont="1" applyAlignment="1">
      <alignment horizontal="center"/>
    </xf>
    <xf numFmtId="168" fontId="92" fillId="16" borderId="9" xfId="2" applyFont="1" applyFill="1" applyBorder="1" applyAlignment="1">
      <alignment horizontal="center"/>
    </xf>
    <xf numFmtId="168" fontId="129" fillId="0" borderId="9" xfId="2" quotePrefix="1" applyFont="1" applyBorder="1" applyAlignment="1">
      <alignment horizontal="left"/>
    </xf>
    <xf numFmtId="168" fontId="129" fillId="13" borderId="9" xfId="2" applyFont="1" applyFill="1" applyBorder="1" applyAlignment="1">
      <alignment horizontal="left"/>
    </xf>
    <xf numFmtId="0" fontId="1" fillId="0" borderId="9" xfId="0" quotePrefix="1" applyFont="1" applyBorder="1"/>
    <xf numFmtId="168" fontId="63" fillId="13" borderId="0" xfId="2" applyFont="1" applyFill="1"/>
    <xf numFmtId="0" fontId="99" fillId="0" borderId="9" xfId="0" applyFont="1" applyBorder="1"/>
    <xf numFmtId="0" fontId="103" fillId="26" borderId="20" xfId="0" applyFont="1" applyFill="1" applyBorder="1" applyAlignment="1">
      <alignment horizontal="left"/>
    </xf>
    <xf numFmtId="0" fontId="103" fillId="29" borderId="9" xfId="0" quotePrefix="1" applyFont="1" applyFill="1" applyBorder="1" applyAlignment="1">
      <alignment horizontal="left"/>
    </xf>
    <xf numFmtId="17" fontId="103" fillId="26" borderId="9" xfId="0" quotePrefix="1" applyNumberFormat="1" applyFont="1" applyFill="1" applyBorder="1" applyAlignment="1">
      <alignment horizontal="right"/>
    </xf>
    <xf numFmtId="15" fontId="103" fillId="26" borderId="9" xfId="0" quotePrefix="1" applyNumberFormat="1" applyFont="1" applyFill="1" applyBorder="1" applyAlignment="1">
      <alignment horizontal="left"/>
    </xf>
    <xf numFmtId="0" fontId="103" fillId="26" borderId="9" xfId="0" applyFont="1" applyFill="1" applyBorder="1" applyAlignment="1">
      <alignment horizontal="left" vertical="top"/>
    </xf>
    <xf numFmtId="0" fontId="103" fillId="26" borderId="9" xfId="0" applyFont="1" applyFill="1" applyBorder="1" applyAlignment="1">
      <alignment horizontal="left" vertical="top" wrapText="1"/>
    </xf>
    <xf numFmtId="0" fontId="79" fillId="26" borderId="9" xfId="7" applyFill="1" applyBorder="1" applyAlignment="1">
      <alignment horizontal="left"/>
    </xf>
    <xf numFmtId="0" fontId="79" fillId="0" borderId="9" xfId="7" applyBorder="1"/>
    <xf numFmtId="0" fontId="100" fillId="13" borderId="9" xfId="0" quotePrefix="1" applyFont="1" applyFill="1" applyBorder="1"/>
    <xf numFmtId="0" fontId="99" fillId="41" borderId="9" xfId="0" quotePrefix="1" applyFont="1" applyFill="1" applyBorder="1"/>
    <xf numFmtId="0" fontId="130" fillId="0" borderId="0" xfId="0" applyFont="1"/>
    <xf numFmtId="0" fontId="86" fillId="0" borderId="0" xfId="0" quotePrefix="1" applyFont="1"/>
    <xf numFmtId="0" fontId="86" fillId="0" borderId="34" xfId="0" applyFont="1" applyBorder="1"/>
    <xf numFmtId="0" fontId="86" fillId="0" borderId="34" xfId="0" quotePrefix="1" applyFont="1" applyBorder="1"/>
    <xf numFmtId="0" fontId="0" fillId="0" borderId="34" xfId="0" applyBorder="1"/>
    <xf numFmtId="0" fontId="131" fillId="12" borderId="9" xfId="0" applyFont="1" applyFill="1" applyBorder="1"/>
    <xf numFmtId="0" fontId="87" fillId="4" borderId="9" xfId="0" applyFont="1" applyFill="1" applyBorder="1"/>
    <xf numFmtId="0" fontId="94" fillId="4" borderId="9" xfId="0" applyFont="1" applyFill="1" applyBorder="1"/>
    <xf numFmtId="0" fontId="94" fillId="4" borderId="9" xfId="0" quotePrefix="1" applyFont="1" applyFill="1" applyBorder="1"/>
    <xf numFmtId="0" fontId="86" fillId="0" borderId="20" xfId="0" quotePrefix="1" applyFont="1" applyBorder="1"/>
    <xf numFmtId="0" fontId="99" fillId="29" borderId="9" xfId="0" quotePrefix="1" applyFont="1" applyFill="1" applyBorder="1"/>
    <xf numFmtId="0" fontId="100" fillId="29" borderId="0" xfId="0" applyFont="1" applyFill="1"/>
    <xf numFmtId="0" fontId="99" fillId="34" borderId="9" xfId="0" applyFont="1" applyFill="1" applyBorder="1"/>
    <xf numFmtId="0" fontId="100" fillId="34" borderId="9" xfId="0" applyFont="1" applyFill="1" applyBorder="1"/>
    <xf numFmtId="0" fontId="100" fillId="0" borderId="10" xfId="0" applyFont="1" applyBorder="1"/>
    <xf numFmtId="1" fontId="63" fillId="38" borderId="9" xfId="2" applyNumberFormat="1" applyFont="1" applyFill="1" applyBorder="1" applyAlignment="1">
      <alignment horizontal="center"/>
    </xf>
    <xf numFmtId="3" fontId="63" fillId="25" borderId="9" xfId="2" applyNumberFormat="1" applyFont="1" applyFill="1" applyBorder="1"/>
    <xf numFmtId="1" fontId="63" fillId="15" borderId="9" xfId="2" applyNumberFormat="1" applyFont="1" applyFill="1" applyBorder="1" applyAlignment="1">
      <alignment horizontal="right" vertical="center"/>
    </xf>
    <xf numFmtId="1" fontId="63" fillId="25" borderId="9" xfId="2" applyNumberFormat="1" applyFont="1" applyFill="1" applyBorder="1" applyAlignment="1">
      <alignment horizontal="right" vertical="center"/>
    </xf>
    <xf numFmtId="3" fontId="63" fillId="15" borderId="9" xfId="2" applyNumberFormat="1" applyFont="1" applyFill="1" applyBorder="1" applyAlignment="1">
      <alignment horizontal="center" vertical="center"/>
    </xf>
    <xf numFmtId="3" fontId="63" fillId="15" borderId="9" xfId="2" quotePrefix="1" applyNumberFormat="1" applyFont="1" applyFill="1" applyBorder="1" applyAlignment="1">
      <alignment horizontal="center"/>
    </xf>
    <xf numFmtId="3" fontId="63" fillId="15" borderId="9" xfId="2" applyNumberFormat="1" applyFont="1" applyFill="1" applyBorder="1" applyAlignment="1">
      <alignment horizontal="center"/>
    </xf>
    <xf numFmtId="9" fontId="19" fillId="0" borderId="9" xfId="0" applyNumberFormat="1" applyFont="1" applyBorder="1"/>
    <xf numFmtId="9" fontId="80" fillId="34" borderId="9" xfId="0" applyNumberFormat="1" applyFont="1" applyFill="1" applyBorder="1"/>
    <xf numFmtId="1" fontId="65" fillId="0" borderId="0" xfId="2" applyNumberFormat="1" applyFont="1"/>
    <xf numFmtId="1" fontId="65" fillId="0" borderId="0" xfId="2" applyNumberFormat="1" applyFont="1" applyAlignment="1">
      <alignment horizontal="center"/>
    </xf>
    <xf numFmtId="168" fontId="61" fillId="34" borderId="0" xfId="2" applyFont="1" applyFill="1"/>
    <xf numFmtId="10" fontId="103" fillId="0" borderId="9" xfId="0" applyNumberFormat="1" applyFont="1" applyBorder="1"/>
    <xf numFmtId="10" fontId="103" fillId="34" borderId="9" xfId="0" applyNumberFormat="1" applyFont="1" applyFill="1" applyBorder="1"/>
    <xf numFmtId="0" fontId="104" fillId="34" borderId="9" xfId="0" quotePrefix="1" applyFont="1" applyFill="1" applyBorder="1"/>
    <xf numFmtId="0" fontId="124" fillId="25" borderId="9" xfId="0" quotePrefix="1" applyFont="1" applyFill="1" applyBorder="1"/>
    <xf numFmtId="0" fontId="124" fillId="4" borderId="9" xfId="0" quotePrefix="1" applyFont="1" applyFill="1" applyBorder="1"/>
    <xf numFmtId="0" fontId="124" fillId="13" borderId="9" xfId="0" quotePrefix="1" applyFont="1" applyFill="1" applyBorder="1"/>
    <xf numFmtId="0" fontId="124" fillId="41" borderId="9" xfId="0" quotePrefix="1" applyFont="1" applyFill="1" applyBorder="1"/>
    <xf numFmtId="1" fontId="65" fillId="35" borderId="0" xfId="2" applyNumberFormat="1" applyFont="1" applyFill="1"/>
    <xf numFmtId="9" fontId="65" fillId="0" borderId="9" xfId="2" applyNumberFormat="1" applyFont="1" applyBorder="1"/>
    <xf numFmtId="176" fontId="65" fillId="0" borderId="9" xfId="2" applyNumberFormat="1" applyFont="1" applyBorder="1"/>
    <xf numFmtId="0" fontId="0" fillId="25" borderId="9" xfId="0" applyFill="1" applyBorder="1"/>
    <xf numFmtId="0" fontId="0" fillId="36" borderId="10" xfId="0" applyFill="1" applyBorder="1"/>
    <xf numFmtId="0" fontId="0" fillId="12" borderId="9" xfId="0" applyFill="1" applyBorder="1"/>
    <xf numFmtId="0" fontId="123" fillId="35" borderId="9" xfId="0" applyFont="1" applyFill="1" applyBorder="1" applyAlignment="1">
      <alignment horizontal="left"/>
    </xf>
    <xf numFmtId="0" fontId="103" fillId="4" borderId="9" xfId="0" applyFont="1" applyFill="1" applyBorder="1" applyAlignment="1">
      <alignment horizontal="right"/>
    </xf>
    <xf numFmtId="0" fontId="103" fillId="26" borderId="9" xfId="0" applyFont="1" applyFill="1" applyBorder="1" applyAlignment="1">
      <alignment horizontal="center"/>
    </xf>
    <xf numFmtId="0" fontId="103" fillId="4" borderId="9" xfId="0" applyFont="1" applyFill="1" applyBorder="1" applyAlignment="1">
      <alignment horizontal="center"/>
    </xf>
    <xf numFmtId="0" fontId="103" fillId="4" borderId="9" xfId="0" applyFont="1" applyFill="1" applyBorder="1" applyAlignment="1">
      <alignment horizontal="left"/>
    </xf>
    <xf numFmtId="9" fontId="103" fillId="26" borderId="9" xfId="0" applyNumberFormat="1" applyFont="1" applyFill="1" applyBorder="1" applyAlignment="1">
      <alignment horizontal="center"/>
    </xf>
    <xf numFmtId="0" fontId="104" fillId="16" borderId="20" xfId="0" applyFont="1" applyFill="1" applyBorder="1" applyAlignment="1">
      <alignment horizontal="left"/>
    </xf>
    <xf numFmtId="15" fontId="103" fillId="4" borderId="9" xfId="0" applyNumberFormat="1" applyFont="1" applyFill="1" applyBorder="1" applyAlignment="1">
      <alignment horizontal="left"/>
    </xf>
    <xf numFmtId="0" fontId="0" fillId="4" borderId="0" xfId="0" applyFill="1"/>
    <xf numFmtId="9" fontId="103" fillId="42" borderId="9" xfId="0" quotePrefix="1" applyNumberFormat="1" applyFont="1" applyFill="1" applyBorder="1"/>
    <xf numFmtId="0" fontId="103" fillId="16" borderId="9" xfId="0" quotePrefix="1" applyFont="1" applyFill="1" applyBorder="1"/>
    <xf numFmtId="0" fontId="103" fillId="0" borderId="9" xfId="0" applyFont="1" applyBorder="1" applyAlignment="1">
      <alignment horizontal="left"/>
    </xf>
    <xf numFmtId="0" fontId="103" fillId="34" borderId="9" xfId="0" quotePrefix="1" applyFont="1" applyFill="1" applyBorder="1"/>
    <xf numFmtId="9" fontId="120" fillId="4" borderId="9" xfId="0" quotePrefix="1" applyNumberFormat="1" applyFont="1" applyFill="1" applyBorder="1"/>
    <xf numFmtId="17" fontId="7" fillId="4" borderId="9" xfId="0" quotePrefix="1" applyNumberFormat="1" applyFont="1" applyFill="1" applyBorder="1" applyAlignment="1">
      <alignment horizontal="center"/>
    </xf>
    <xf numFmtId="9" fontId="54" fillId="4" borderId="9" xfId="0" quotePrefix="1" applyNumberFormat="1" applyFont="1" applyFill="1" applyBorder="1" applyAlignment="1">
      <alignment horizontal="left"/>
    </xf>
    <xf numFmtId="49" fontId="15" fillId="4" borderId="9" xfId="0" quotePrefix="1" applyNumberFormat="1" applyFont="1" applyFill="1" applyBorder="1" applyAlignment="1">
      <alignment horizontal="left"/>
    </xf>
    <xf numFmtId="3" fontId="104" fillId="34" borderId="0" xfId="0" quotePrefix="1" applyNumberFormat="1" applyFont="1" applyFill="1" applyAlignment="1">
      <alignment horizontal="right"/>
    </xf>
    <xf numFmtId="3" fontId="0" fillId="0" borderId="9" xfId="0" applyNumberFormat="1" applyBorder="1"/>
    <xf numFmtId="0" fontId="118" fillId="35" borderId="32" xfId="0" applyFont="1" applyFill="1" applyBorder="1" applyAlignment="1">
      <alignment horizontal="center"/>
    </xf>
    <xf numFmtId="0" fontId="118" fillId="35" borderId="33" xfId="0" applyFont="1" applyFill="1" applyBorder="1" applyAlignment="1">
      <alignment horizontal="center"/>
    </xf>
    <xf numFmtId="1" fontId="63" fillId="38" borderId="21" xfId="2" applyNumberFormat="1" applyFont="1" applyFill="1" applyBorder="1" applyAlignment="1">
      <alignment horizontal="center"/>
    </xf>
    <xf numFmtId="1" fontId="63" fillId="38" borderId="23" xfId="2" applyNumberFormat="1" applyFont="1" applyFill="1" applyBorder="1" applyAlignment="1">
      <alignment horizontal="center"/>
    </xf>
    <xf numFmtId="1" fontId="63" fillId="38" borderId="22" xfId="2" applyNumberFormat="1" applyFont="1" applyFill="1" applyBorder="1" applyAlignment="1">
      <alignment horizontal="center"/>
    </xf>
    <xf numFmtId="1" fontId="107" fillId="16" borderId="21" xfId="2" applyNumberFormat="1" applyFont="1" applyFill="1" applyBorder="1" applyAlignment="1">
      <alignment horizontal="left"/>
    </xf>
    <xf numFmtId="1" fontId="107" fillId="16" borderId="22" xfId="2" applyNumberFormat="1" applyFont="1" applyFill="1" applyBorder="1" applyAlignment="1">
      <alignment horizontal="left"/>
    </xf>
    <xf numFmtId="1" fontId="107" fillId="16" borderId="23" xfId="2" applyNumberFormat="1" applyFont="1" applyFill="1" applyBorder="1" applyAlignment="1">
      <alignment horizontal="left"/>
    </xf>
    <xf numFmtId="0" fontId="104" fillId="15" borderId="21" xfId="0" quotePrefix="1" applyFont="1" applyFill="1" applyBorder="1" applyAlignment="1">
      <alignment horizontal="center"/>
    </xf>
    <xf numFmtId="0" fontId="104" fillId="15" borderId="22" xfId="0" quotePrefix="1" applyFont="1" applyFill="1" applyBorder="1" applyAlignment="1">
      <alignment horizontal="center"/>
    </xf>
    <xf numFmtId="0" fontId="121" fillId="15" borderId="9" xfId="0" applyFont="1" applyFill="1" applyBorder="1" applyAlignment="1">
      <alignment horizontal="center"/>
    </xf>
    <xf numFmtId="0" fontId="134" fillId="35" borderId="9" xfId="0" quotePrefix="1" applyFont="1" applyFill="1" applyBorder="1" applyAlignment="1">
      <alignment horizontal="center" vertical="center"/>
    </xf>
    <xf numFmtId="0" fontId="87" fillId="19" borderId="21" xfId="0" applyFont="1" applyFill="1" applyBorder="1" applyAlignment="1">
      <alignment horizontal="center"/>
    </xf>
    <xf numFmtId="0" fontId="87" fillId="19" borderId="23" xfId="0" applyFont="1" applyFill="1" applyBorder="1" applyAlignment="1">
      <alignment horizontal="center"/>
    </xf>
    <xf numFmtId="0" fontId="87" fillId="19" borderId="22" xfId="0" applyFont="1" applyFill="1" applyBorder="1" applyAlignment="1">
      <alignment horizontal="center"/>
    </xf>
    <xf numFmtId="168" fontId="85" fillId="0" borderId="9" xfId="2" applyFont="1" applyBorder="1" applyAlignment="1">
      <alignment horizontal="left"/>
    </xf>
    <xf numFmtId="168" fontId="84" fillId="0" borderId="9" xfId="2" applyFont="1" applyBorder="1" applyAlignment="1">
      <alignment horizontal="left"/>
    </xf>
    <xf numFmtId="175" fontId="104" fillId="0" borderId="21" xfId="0" applyNumberFormat="1" applyFont="1" applyBorder="1" applyAlignment="1">
      <alignment horizontal="center"/>
    </xf>
    <xf numFmtId="175" fontId="104" fillId="0" borderId="22" xfId="0" applyNumberFormat="1" applyFont="1" applyBorder="1" applyAlignment="1">
      <alignment horizontal="center"/>
    </xf>
    <xf numFmtId="0" fontId="132" fillId="16" borderId="9" xfId="0" applyFont="1" applyFill="1" applyBorder="1" applyAlignment="1">
      <alignment horizontal="center"/>
    </xf>
    <xf numFmtId="168" fontId="76" fillId="11" borderId="21" xfId="2" applyFont="1" applyFill="1" applyBorder="1" applyAlignment="1">
      <alignment horizontal="left"/>
    </xf>
    <xf numFmtId="168" fontId="76" fillId="11" borderId="22" xfId="2" applyFont="1" applyFill="1" applyBorder="1" applyAlignment="1">
      <alignment horizontal="left"/>
    </xf>
    <xf numFmtId="168" fontId="77" fillId="16" borderId="21" xfId="2" applyFont="1" applyFill="1" applyBorder="1" applyAlignment="1">
      <alignment horizontal="left"/>
    </xf>
    <xf numFmtId="168" fontId="77" fillId="16" borderId="22" xfId="2" applyFont="1" applyFill="1" applyBorder="1" applyAlignment="1">
      <alignment horizontal="left"/>
    </xf>
  </cellXfs>
  <cellStyles count="8">
    <cellStyle name="Excel Built-in Hyperlink" xfId="1" xr:uid="{00000000-0005-0000-0000-000000000000}"/>
    <cellStyle name="Excel Built-in Normal" xfId="2" xr:uid="{00000000-0005-0000-0000-000001000000}"/>
    <cellStyle name="Heading" xfId="3" xr:uid="{00000000-0005-0000-0000-000002000000}"/>
    <cellStyle name="Heading1" xfId="4" xr:uid="{00000000-0005-0000-0000-000003000000}"/>
    <cellStyle name="Hyperlink" xfId="7" builtinId="8"/>
    <cellStyle name="Normal" xfId="0" builtinId="0" customBuiltin="1"/>
    <cellStyle name="Result" xfId="5" xr:uid="{00000000-0005-0000-0000-000006000000}"/>
    <cellStyle name="Result2" xfId="6" xr:uid="{00000000-0005-0000-0000-000007000000}"/>
  </cellStyles>
  <dxfs count="0"/>
  <tableStyles count="0" defaultTableStyle="TableStyleMedium2" defaultPivotStyle="PivotStyleLight16"/>
  <colors>
    <mruColors>
      <color rgb="FF64F232"/>
      <color rgb="FFEB43D3"/>
      <color rgb="FFF97373"/>
      <color rgb="FFD8B8EA"/>
      <color rgb="FFA65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nainitalcorbetttourism.com/garjia-temple.html" TargetMode="External"/><Relationship Id="rId2" Type="http://schemas.openxmlformats.org/officeDocument/2006/relationships/hyperlink" Target="mailto:epam_options@ubs.com" TargetMode="External"/><Relationship Id="rId1" Type="http://schemas.openxmlformats.org/officeDocument/2006/relationships/hyperlink" Target="mailto:askstockpurchaseplan@epam.com" TargetMode="External"/><Relationship Id="rId5" Type="http://schemas.openxmlformats.org/officeDocument/2006/relationships/printerSettings" Target="../printerSettings/printerSettings1.bin"/><Relationship Id="rId4" Type="http://schemas.openxmlformats.org/officeDocument/2006/relationships/hyperlink" Target="https://www.wayfieldag.com/"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avernet@visattorney.com%20%20%7C%20+34%20630%20907%20622"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pp.mfcentral.com/portal/home" TargetMode="External"/><Relationship Id="rId1" Type="http://schemas.openxmlformats.org/officeDocument/2006/relationships/hyperlink" Target="https://app.mfcentral.com/portal/hom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sheetal0123@gmail.com" TargetMode="External"/><Relationship Id="rId13" Type="http://schemas.openxmlformats.org/officeDocument/2006/relationships/hyperlink" Target="mailto:sheetal.singh8@cts&#8230;.%20/%20Bh#1.3" TargetMode="External"/><Relationship Id="rId18" Type="http://schemas.openxmlformats.org/officeDocument/2006/relationships/hyperlink" Target="https://academy.uipath.com/achievements" TargetMode="External"/><Relationship Id="rId3" Type="http://schemas.openxmlformats.org/officeDocument/2006/relationships/hyperlink" Target="mailto:mail2prithvik@gmail.com" TargetMode="External"/><Relationship Id="rId7" Type="http://schemas.openxmlformats.org/officeDocument/2006/relationships/hyperlink" Target="mailto:603785707/M@123" TargetMode="External"/><Relationship Id="rId12" Type="http://schemas.openxmlformats.org/officeDocument/2006/relationships/hyperlink" Target="https://learn.microsoft.com/en-us/users/sheetalsingh-3749" TargetMode="External"/><Relationship Id="rId17" Type="http://schemas.openxmlformats.org/officeDocument/2006/relationships/hyperlink" Target="mailto:M@" TargetMode="External"/><Relationship Id="rId2" Type="http://schemas.openxmlformats.org/officeDocument/2006/relationships/hyperlink" Target="mailto:M@" TargetMode="External"/><Relationship Id="rId16" Type="http://schemas.openxmlformats.org/officeDocument/2006/relationships/hyperlink" Target="https://mportal.passportindia.gov.in/gpsp/AuthNavigation/Login" TargetMode="External"/><Relationship Id="rId1" Type="http://schemas.openxmlformats.org/officeDocument/2006/relationships/hyperlink" Target="mailto:cmasharma147@outlook.com" TargetMode="External"/><Relationship Id="rId6" Type="http://schemas.openxmlformats.org/officeDocument/2006/relationships/hyperlink" Target="mailto:sheetal0123@gmail.com" TargetMode="External"/><Relationship Id="rId11" Type="http://schemas.openxmlformats.org/officeDocument/2006/relationships/hyperlink" Target="https://my.claimsolver.es/claims" TargetMode="External"/><Relationship Id="rId5" Type="http://schemas.openxmlformats.org/officeDocument/2006/relationships/hyperlink" Target="mailto:26a@%20/%20250113" TargetMode="External"/><Relationship Id="rId15" Type="http://schemas.openxmlformats.org/officeDocument/2006/relationships/hyperlink" Target="https://www.blsinternational.com/india/spain/track-application.php" TargetMode="External"/><Relationship Id="rId10" Type="http://schemas.openxmlformats.org/officeDocument/2006/relationships/hyperlink" Target="https://www.ubs.com/onesource/EPAM" TargetMode="External"/><Relationship Id="rId19" Type="http://schemas.openxmlformats.org/officeDocument/2006/relationships/hyperlink" Target="https://academy.uipath.com/" TargetMode="External"/><Relationship Id="rId4" Type="http://schemas.openxmlformats.org/officeDocument/2006/relationships/hyperlink" Target="mailto:Ka@25.." TargetMode="External"/><Relationship Id="rId9" Type="http://schemas.openxmlformats.org/officeDocument/2006/relationships/hyperlink" Target="mailto:M@***" TargetMode="External"/><Relationship Id="rId14" Type="http://schemas.openxmlformats.org/officeDocument/2006/relationships/hyperlink" Target="https://edistrict.delhigovt.nic.in/%20%20%20%20|%20%20%20Print%20%3e%20%2014%20digit%20reg%20number%20=%2000113005512388"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hyperlink" Target="mailto:Seema_PAN/K@26" TargetMode="External"/><Relationship Id="rId2" Type="http://schemas.openxmlformats.org/officeDocument/2006/relationships/hyperlink" Target="mailto:Seema_PAN/K@26" TargetMode="External"/><Relationship Id="rId1" Type="http://schemas.openxmlformats.org/officeDocument/2006/relationships/hyperlink" Target="mailto:sheetal0123/M@123" TargetMode="External"/><Relationship Id="rId6" Type="http://schemas.openxmlformats.org/officeDocument/2006/relationships/printerSettings" Target="../printerSettings/printerSettings7.bin"/><Relationship Id="rId5" Type="http://schemas.openxmlformats.org/officeDocument/2006/relationships/hyperlink" Target="mailto:147cmasharma@gmail.com" TargetMode="External"/><Relationship Id="rId4" Type="http://schemas.openxmlformats.org/officeDocument/2006/relationships/hyperlink" Target="mailto:Seema_PAN/K@26"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director@pingdevelopers.in"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moneycontrol.com/mutual-funds/nav/sbi-long-term-equity-fund-direct-plan-growth/MSB499"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E113"/>
  <sheetViews>
    <sheetView zoomScale="98" zoomScaleNormal="100" workbookViewId="0">
      <selection activeCell="L7" sqref="L7"/>
    </sheetView>
  </sheetViews>
  <sheetFormatPr defaultColWidth="8.875" defaultRowHeight="14.25"/>
  <cols>
    <col min="1" max="1" width="0.75" customWidth="1"/>
    <col min="2" max="2" width="14" style="10" customWidth="1"/>
    <col min="3" max="3" width="14.125" style="10" customWidth="1"/>
    <col min="4" max="4" width="11.75" style="10" customWidth="1"/>
    <col min="5" max="5" width="16" style="62" customWidth="1"/>
    <col min="6" max="6" width="13.625" style="62" customWidth="1"/>
    <col min="7" max="7" width="25.5" style="62" customWidth="1"/>
    <col min="8" max="8" width="21.25" style="62" customWidth="1"/>
    <col min="9" max="9" width="17.25" style="10" customWidth="1"/>
    <col min="10" max="10" width="18" style="10" customWidth="1"/>
    <col min="11" max="11" width="13.625" style="10" customWidth="1"/>
    <col min="12" max="12" width="14" style="10" customWidth="1"/>
    <col min="13" max="13" width="14.125" style="10" customWidth="1"/>
    <col min="14" max="14" width="8.375" style="83" customWidth="1"/>
    <col min="15" max="15" width="16.875" style="83" customWidth="1"/>
    <col min="16" max="16" width="11.375" style="83" customWidth="1"/>
    <col min="17" max="17" width="11.875" style="83" customWidth="1"/>
    <col min="18" max="18" width="8.75" style="83" customWidth="1"/>
    <col min="19" max="19" width="9.625" style="10" customWidth="1"/>
    <col min="20" max="20" width="9" style="10" customWidth="1"/>
    <col min="21" max="21" width="11.75" style="10" customWidth="1"/>
    <col min="22" max="22" width="12.375" style="10" customWidth="1"/>
    <col min="23" max="23" width="5.625" style="10" customWidth="1"/>
    <col min="24" max="24" width="19.5" style="10" customWidth="1"/>
    <col min="25" max="1019" width="7" style="10" customWidth="1"/>
  </cols>
  <sheetData>
    <row r="1" spans="2:11" ht="5.25" customHeight="1" thickBot="1"/>
    <row r="2" spans="2:11" ht="21.75" thickBot="1">
      <c r="B2" s="680" t="s">
        <v>1702</v>
      </c>
      <c r="C2" s="681"/>
      <c r="D2" s="62"/>
      <c r="I2" s="62"/>
    </row>
    <row r="3" spans="2:11">
      <c r="B3" s="62"/>
      <c r="C3" s="62"/>
      <c r="D3" s="62"/>
      <c r="I3" s="657">
        <v>105</v>
      </c>
    </row>
    <row r="4" spans="2:11" ht="15.75">
      <c r="B4" s="557" t="s">
        <v>1703</v>
      </c>
      <c r="C4" s="557"/>
      <c r="D4" s="558"/>
      <c r="E4" s="557" t="s">
        <v>1175</v>
      </c>
      <c r="F4" s="557" t="s">
        <v>1179</v>
      </c>
      <c r="G4" s="559"/>
      <c r="H4" s="560"/>
      <c r="I4" s="557" t="s">
        <v>1809</v>
      </c>
      <c r="J4" s="557" t="s">
        <v>2229</v>
      </c>
      <c r="K4" s="557"/>
    </row>
    <row r="5" spans="2:11" ht="15">
      <c r="B5" s="319" t="s">
        <v>1202</v>
      </c>
      <c r="C5" s="319" t="s">
        <v>2014</v>
      </c>
      <c r="D5" s="503" t="s">
        <v>1704</v>
      </c>
      <c r="E5" s="310" t="s">
        <v>1184</v>
      </c>
      <c r="F5" s="315" t="s">
        <v>1217</v>
      </c>
      <c r="G5" s="83"/>
      <c r="H5" s="10" t="s">
        <v>1813</v>
      </c>
      <c r="I5" s="78" t="s">
        <v>2224</v>
      </c>
      <c r="J5" s="657">
        <f>H35+(P35*I3)</f>
        <v>830880</v>
      </c>
      <c r="K5" s="656">
        <f>J5/J14</f>
        <v>3.5781489513023693E-2</v>
      </c>
    </row>
    <row r="6" spans="2:11" ht="15">
      <c r="E6" s="310" t="s">
        <v>1187</v>
      </c>
      <c r="F6" s="315" t="s">
        <v>1218</v>
      </c>
      <c r="G6" s="83"/>
      <c r="H6" s="10" t="s">
        <v>1813</v>
      </c>
      <c r="I6" s="78" t="s">
        <v>1810</v>
      </c>
      <c r="J6" s="657">
        <f>I35</f>
        <v>6616000</v>
      </c>
      <c r="K6" s="656">
        <f>J6/J14</f>
        <v>0.28491519186665315</v>
      </c>
    </row>
    <row r="7" spans="2:11" ht="15.75">
      <c r="B7" s="557" t="s">
        <v>1094</v>
      </c>
      <c r="C7" s="557"/>
      <c r="E7" s="310" t="s">
        <v>1185</v>
      </c>
      <c r="F7" s="310" t="s">
        <v>1199</v>
      </c>
      <c r="G7" s="83"/>
      <c r="H7" s="10" t="s">
        <v>1813</v>
      </c>
      <c r="I7" s="78" t="s">
        <v>919</v>
      </c>
      <c r="J7" s="657">
        <f>Q35*I3</f>
        <v>1256325</v>
      </c>
      <c r="K7" s="656">
        <f>J7/J14</f>
        <v>5.4103095287465694E-2</v>
      </c>
    </row>
    <row r="8" spans="2:11" ht="15">
      <c r="B8" s="77" t="s">
        <v>1095</v>
      </c>
      <c r="C8" s="77" t="s">
        <v>1098</v>
      </c>
      <c r="E8" s="315" t="s">
        <v>1221</v>
      </c>
      <c r="F8" s="315" t="s">
        <v>1220</v>
      </c>
      <c r="G8" s="83"/>
      <c r="H8" s="10" t="s">
        <v>1813</v>
      </c>
      <c r="I8" s="78" t="s">
        <v>2225</v>
      </c>
      <c r="J8" s="657">
        <v>0</v>
      </c>
      <c r="K8" s="656">
        <f>J8/J14</f>
        <v>0</v>
      </c>
    </row>
    <row r="9" spans="2:11" ht="15">
      <c r="B9" s="77" t="s">
        <v>1096</v>
      </c>
      <c r="C9" s="77" t="s">
        <v>1097</v>
      </c>
      <c r="E9" s="310" t="s">
        <v>1188</v>
      </c>
      <c r="F9" s="310" t="s">
        <v>1192</v>
      </c>
      <c r="G9" s="83"/>
      <c r="H9" s="10" t="s">
        <v>1813</v>
      </c>
      <c r="I9" s="78" t="s">
        <v>2226</v>
      </c>
      <c r="J9" s="657">
        <f>D35+E35+F35</f>
        <v>2067000</v>
      </c>
      <c r="K9" s="656">
        <f>J9/J14</f>
        <v>8.9014465173574975E-2</v>
      </c>
    </row>
    <row r="10" spans="2:11" ht="15">
      <c r="B10" s="77" t="s">
        <v>1705</v>
      </c>
      <c r="C10" s="77" t="s">
        <v>1706</v>
      </c>
      <c r="E10" s="310" t="s">
        <v>1190</v>
      </c>
      <c r="F10" s="553" t="s">
        <v>1807</v>
      </c>
      <c r="G10" s="83"/>
      <c r="H10" s="10" t="s">
        <v>1813</v>
      </c>
      <c r="I10" s="78" t="s">
        <v>2227</v>
      </c>
      <c r="J10" s="657">
        <f>C35+G35+(O35*I3)</f>
        <v>3523875</v>
      </c>
      <c r="K10" s="656">
        <f>J10/J14</f>
        <v>0.15175415987592236</v>
      </c>
    </row>
    <row r="11" spans="2:11" ht="15">
      <c r="B11" s="77"/>
      <c r="C11" s="504">
        <f>10+28+45</f>
        <v>83</v>
      </c>
      <c r="E11" s="310" t="s">
        <v>1191</v>
      </c>
      <c r="F11" s="553" t="s">
        <v>1807</v>
      </c>
      <c r="G11" s="83"/>
      <c r="H11" s="10" t="s">
        <v>1813</v>
      </c>
      <c r="I11" s="78" t="s">
        <v>1811</v>
      </c>
      <c r="J11" s="657">
        <f>J35</f>
        <v>650000</v>
      </c>
      <c r="K11" s="656">
        <f>J11/J14</f>
        <v>2.7991970180369488E-2</v>
      </c>
    </row>
    <row r="12" spans="2:11" ht="15">
      <c r="E12" s="310" t="s">
        <v>1806</v>
      </c>
      <c r="F12" s="553" t="s">
        <v>1807</v>
      </c>
      <c r="G12" s="10"/>
      <c r="H12" s="10" t="s">
        <v>1813</v>
      </c>
      <c r="I12" s="78" t="s">
        <v>1812</v>
      </c>
      <c r="J12" s="657">
        <f>K35+(S35*I3)</f>
        <v>3072750</v>
      </c>
      <c r="K12" s="656">
        <f>J12/J14</f>
        <v>0.13232665595650822</v>
      </c>
    </row>
    <row r="13" spans="2:11" ht="15">
      <c r="E13" s="310" t="s">
        <v>1069</v>
      </c>
      <c r="F13" s="310" t="s">
        <v>1193</v>
      </c>
      <c r="G13" s="83"/>
      <c r="H13" s="10" t="s">
        <v>1813</v>
      </c>
      <c r="I13" s="78" t="s">
        <v>2228</v>
      </c>
      <c r="J13" s="657">
        <f>(R35*I3)</f>
        <v>5204115</v>
      </c>
      <c r="K13" s="656">
        <f>J13/J14</f>
        <v>0.2241129721464824</v>
      </c>
    </row>
    <row r="14" spans="2:11" ht="15.75">
      <c r="B14" s="557" t="s">
        <v>1176</v>
      </c>
      <c r="C14" s="557" t="s">
        <v>1179</v>
      </c>
      <c r="E14" s="310" t="s">
        <v>1200</v>
      </c>
      <c r="F14" s="310" t="s">
        <v>1203</v>
      </c>
      <c r="G14" s="83"/>
      <c r="H14" s="10" t="s">
        <v>1813</v>
      </c>
      <c r="I14" s="78" t="s">
        <v>1715</v>
      </c>
      <c r="J14" s="657">
        <f>SUM(J5:J13)</f>
        <v>23220945</v>
      </c>
      <c r="K14" s="656">
        <f>J14/J14</f>
        <v>1</v>
      </c>
    </row>
    <row r="15" spans="2:11" ht="15">
      <c r="B15" s="310" t="s">
        <v>1182</v>
      </c>
      <c r="C15" s="310" t="s">
        <v>1178</v>
      </c>
      <c r="E15" s="310" t="s">
        <v>438</v>
      </c>
      <c r="F15" s="310" t="s">
        <v>1201</v>
      </c>
      <c r="G15" s="83"/>
      <c r="H15" s="10" t="s">
        <v>1813</v>
      </c>
    </row>
    <row r="16" spans="2:11" ht="15">
      <c r="B16" s="310" t="s">
        <v>1180</v>
      </c>
      <c r="C16" s="310" t="s">
        <v>1178</v>
      </c>
      <c r="E16" s="310"/>
      <c r="F16" s="310"/>
      <c r="G16" s="83"/>
      <c r="H16" s="10"/>
    </row>
    <row r="17" spans="2:1019" ht="15">
      <c r="B17" s="310" t="s">
        <v>1181</v>
      </c>
      <c r="C17" s="310" t="s">
        <v>1178</v>
      </c>
      <c r="E17" s="310" t="s">
        <v>1195</v>
      </c>
      <c r="F17" s="310" t="s">
        <v>1196</v>
      </c>
      <c r="G17" s="83"/>
      <c r="H17" s="10"/>
    </row>
    <row r="18" spans="2:1019" ht="15">
      <c r="B18" s="553" t="s">
        <v>1814</v>
      </c>
      <c r="C18" s="310" t="s">
        <v>1178</v>
      </c>
      <c r="E18" s="310" t="s">
        <v>1197</v>
      </c>
      <c r="F18" s="310" t="s">
        <v>1198</v>
      </c>
      <c r="G18" s="83"/>
      <c r="H18" s="10"/>
    </row>
    <row r="19" spans="2:1019" ht="15">
      <c r="B19" s="310" t="s">
        <v>1177</v>
      </c>
      <c r="C19" s="310" t="s">
        <v>1178</v>
      </c>
      <c r="E19" s="310"/>
      <c r="F19" s="310"/>
      <c r="G19" s="83"/>
      <c r="H19" s="10"/>
      <c r="L19" s="62"/>
      <c r="N19" s="10"/>
    </row>
    <row r="20" spans="2:1019" ht="15">
      <c r="B20" s="310" t="s">
        <v>1183</v>
      </c>
      <c r="C20" s="310" t="s">
        <v>1178</v>
      </c>
      <c r="E20" s="310" t="s">
        <v>895</v>
      </c>
      <c r="F20" s="503" t="s">
        <v>1700</v>
      </c>
      <c r="G20" s="83"/>
      <c r="H20" s="10"/>
      <c r="L20" s="62"/>
      <c r="N20" s="10"/>
    </row>
    <row r="21" spans="2:1019" ht="15">
      <c r="B21" s="310" t="s">
        <v>1707</v>
      </c>
      <c r="C21" s="310" t="s">
        <v>1178</v>
      </c>
      <c r="E21" s="310" t="s">
        <v>272</v>
      </c>
      <c r="F21" s="503" t="s">
        <v>1701</v>
      </c>
      <c r="G21" s="83"/>
      <c r="H21" s="10"/>
      <c r="L21" s="62"/>
      <c r="N21" s="10"/>
    </row>
    <row r="22" spans="2:1019" ht="15">
      <c r="E22" s="310"/>
      <c r="F22" s="310"/>
      <c r="G22" s="83"/>
    </row>
    <row r="23" spans="2:1019" ht="15">
      <c r="B23" s="62"/>
      <c r="C23" s="62"/>
      <c r="D23" s="62"/>
      <c r="E23" s="438" t="s">
        <v>1368</v>
      </c>
      <c r="F23" s="441" t="s">
        <v>1505</v>
      </c>
      <c r="G23" s="83"/>
      <c r="I23" s="62"/>
    </row>
    <row r="24" spans="2:1019" ht="15">
      <c r="B24" s="62"/>
      <c r="C24" s="62"/>
      <c r="D24" s="62"/>
      <c r="E24" s="555"/>
      <c r="F24" s="556"/>
      <c r="G24" s="83"/>
      <c r="I24" s="62"/>
    </row>
    <row r="25" spans="2:1019" ht="15">
      <c r="B25" s="506" t="s">
        <v>1708</v>
      </c>
      <c r="C25" s="507"/>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row>
    <row r="26" spans="2:1019" ht="15">
      <c r="B26" s="508"/>
      <c r="C26" s="682" t="s">
        <v>1709</v>
      </c>
      <c r="D26" s="683"/>
      <c r="E26" s="683"/>
      <c r="F26" s="683"/>
      <c r="G26" s="683"/>
      <c r="H26" s="683"/>
      <c r="I26" s="683"/>
      <c r="J26" s="683"/>
      <c r="K26" s="683"/>
      <c r="L26" s="683"/>
      <c r="M26" s="684"/>
      <c r="N26" s="262"/>
      <c r="O26" s="682" t="s">
        <v>1692</v>
      </c>
      <c r="P26" s="683"/>
      <c r="Q26" s="683"/>
      <c r="R26" s="683"/>
      <c r="S26" s="683"/>
      <c r="T26" s="683"/>
      <c r="U26" s="683"/>
      <c r="V26" s="684"/>
      <c r="X26" s="636" t="s">
        <v>2176</v>
      </c>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row>
    <row r="27" spans="2:1019">
      <c r="B27" s="497" t="s">
        <v>19</v>
      </c>
      <c r="C27" s="497" t="s">
        <v>936</v>
      </c>
      <c r="D27" s="497" t="s">
        <v>24</v>
      </c>
      <c r="E27" s="497" t="s">
        <v>322</v>
      </c>
      <c r="F27" s="497" t="s">
        <v>374</v>
      </c>
      <c r="G27" s="497" t="s">
        <v>937</v>
      </c>
      <c r="H27" s="499" t="s">
        <v>2183</v>
      </c>
      <c r="I27" s="497" t="s">
        <v>1681</v>
      </c>
      <c r="J27" s="497" t="s">
        <v>1363</v>
      </c>
      <c r="K27" s="497" t="s">
        <v>376</v>
      </c>
      <c r="L27" s="497" t="s">
        <v>1715</v>
      </c>
      <c r="M27" s="497" t="s">
        <v>2170</v>
      </c>
      <c r="N27" s="77"/>
      <c r="O27" s="499" t="s">
        <v>2169</v>
      </c>
      <c r="P27" s="499" t="s">
        <v>1069</v>
      </c>
      <c r="Q27" s="499" t="s">
        <v>919</v>
      </c>
      <c r="R27" s="500" t="s">
        <v>1716</v>
      </c>
      <c r="S27" s="497" t="s">
        <v>376</v>
      </c>
      <c r="T27" s="497" t="s">
        <v>1717</v>
      </c>
      <c r="U27" s="497" t="s">
        <v>2181</v>
      </c>
      <c r="V27" s="497" t="s">
        <v>2171</v>
      </c>
      <c r="X27" s="497" t="s">
        <v>2175</v>
      </c>
      <c r="Y27" s="497" t="s">
        <v>789</v>
      </c>
      <c r="Z27" s="497" t="s">
        <v>2180</v>
      </c>
      <c r="AA27"/>
      <c r="AB27"/>
      <c r="AC27"/>
      <c r="AD27"/>
      <c r="AF27"/>
      <c r="AG27"/>
      <c r="AH27"/>
      <c r="AI27"/>
      <c r="AJ27"/>
      <c r="AK27"/>
      <c r="AL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row>
    <row r="28" spans="2:1019">
      <c r="B28" s="171" t="s">
        <v>458</v>
      </c>
      <c r="C28" s="495">
        <v>811250</v>
      </c>
      <c r="D28" s="495">
        <v>300000</v>
      </c>
      <c r="E28" s="495">
        <v>430000</v>
      </c>
      <c r="F28" s="495">
        <v>0</v>
      </c>
      <c r="G28" s="495">
        <v>600000</v>
      </c>
      <c r="H28" s="495">
        <v>316000</v>
      </c>
      <c r="I28" s="495">
        <v>859684</v>
      </c>
      <c r="J28" s="495">
        <v>0</v>
      </c>
      <c r="K28" s="496">
        <v>210000</v>
      </c>
      <c r="L28" s="509">
        <f t="shared" ref="L28:L33" si="0">SUM(C28:K28)</f>
        <v>3526934</v>
      </c>
      <c r="M28" s="640" t="s">
        <v>1711</v>
      </c>
      <c r="N28" s="77"/>
      <c r="O28" s="495"/>
      <c r="P28" s="495"/>
      <c r="Q28" s="495"/>
      <c r="R28" s="495"/>
      <c r="S28" s="496"/>
      <c r="T28" s="495"/>
      <c r="U28" s="495"/>
      <c r="V28" s="638"/>
      <c r="X28" s="495"/>
      <c r="Y28" s="495"/>
      <c r="Z28" s="495"/>
      <c r="AA28"/>
      <c r="AB28"/>
      <c r="AC28"/>
      <c r="AD28"/>
      <c r="AF28"/>
      <c r="AG28"/>
      <c r="AH28"/>
      <c r="AI28"/>
      <c r="AJ28"/>
      <c r="AK28"/>
      <c r="AL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row>
    <row r="29" spans="2:1019">
      <c r="B29" s="171" t="s">
        <v>457</v>
      </c>
      <c r="C29" s="495">
        <v>1716000</v>
      </c>
      <c r="D29" s="495">
        <v>350000</v>
      </c>
      <c r="E29" s="495">
        <v>580000</v>
      </c>
      <c r="F29" s="495">
        <v>54000</v>
      </c>
      <c r="G29" s="495">
        <v>64000</v>
      </c>
      <c r="H29" s="495">
        <v>305000</v>
      </c>
      <c r="I29" s="495">
        <v>2240000</v>
      </c>
      <c r="J29" s="495">
        <v>0</v>
      </c>
      <c r="K29" s="496">
        <f>K28</f>
        <v>210000</v>
      </c>
      <c r="L29" s="509">
        <f t="shared" si="0"/>
        <v>5519000</v>
      </c>
      <c r="M29" s="640" t="s">
        <v>1712</v>
      </c>
      <c r="N29" s="77"/>
      <c r="O29" s="495"/>
      <c r="P29" s="495"/>
      <c r="Q29" s="495"/>
      <c r="R29" s="495"/>
      <c r="S29" s="496"/>
      <c r="T29" s="495"/>
      <c r="U29" s="495"/>
      <c r="V29" s="638"/>
      <c r="X29" s="495"/>
      <c r="Y29" s="495"/>
      <c r="Z29" s="501" t="s">
        <v>1694</v>
      </c>
      <c r="AA29"/>
      <c r="AB29"/>
      <c r="AC29"/>
      <c r="AD29"/>
      <c r="AF29"/>
      <c r="AG29"/>
      <c r="AH29"/>
      <c r="AI29"/>
      <c r="AJ29"/>
      <c r="AK29"/>
      <c r="AL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row>
    <row r="30" spans="2:1019">
      <c r="B30" s="171" t="s">
        <v>617</v>
      </c>
      <c r="C30" s="495">
        <v>593000</v>
      </c>
      <c r="D30" s="495">
        <v>527200</v>
      </c>
      <c r="E30" s="495">
        <v>665000</v>
      </c>
      <c r="F30" s="495">
        <v>130237</v>
      </c>
      <c r="G30" s="495">
        <v>2373000</v>
      </c>
      <c r="H30" s="495">
        <v>200000</v>
      </c>
      <c r="I30" s="495">
        <v>2200000</v>
      </c>
      <c r="J30" s="495">
        <v>0</v>
      </c>
      <c r="K30" s="496">
        <v>50000</v>
      </c>
      <c r="L30" s="509">
        <f t="shared" si="0"/>
        <v>6738437</v>
      </c>
      <c r="M30" s="640" t="s">
        <v>1713</v>
      </c>
      <c r="N30" s="79"/>
      <c r="O30" s="495"/>
      <c r="P30" s="495"/>
      <c r="Q30" s="495"/>
      <c r="R30" s="495"/>
      <c r="S30" s="496"/>
      <c r="T30" s="495"/>
      <c r="U30" s="495"/>
      <c r="V30" s="638"/>
      <c r="X30" s="495"/>
      <c r="Y30" s="495"/>
      <c r="Z30" s="501" t="s">
        <v>1695</v>
      </c>
      <c r="AA30"/>
      <c r="AB30"/>
      <c r="AC30"/>
      <c r="AD30"/>
      <c r="AF30"/>
      <c r="AG30"/>
      <c r="AH30"/>
      <c r="AI30"/>
      <c r="AJ30"/>
      <c r="AK30"/>
      <c r="AL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row>
    <row r="31" spans="2:1019">
      <c r="B31" s="171" t="s">
        <v>820</v>
      </c>
      <c r="C31" s="495">
        <v>2108000</v>
      </c>
      <c r="D31" s="495">
        <v>550000</v>
      </c>
      <c r="E31" s="495">
        <v>680000</v>
      </c>
      <c r="F31" s="495">
        <v>164000</v>
      </c>
      <c r="G31" s="495">
        <f>1417000+57000</f>
        <v>1474000</v>
      </c>
      <c r="H31" s="495">
        <v>200400</v>
      </c>
      <c r="I31" s="495">
        <v>1835000</v>
      </c>
      <c r="J31" s="495">
        <v>0</v>
      </c>
      <c r="K31" s="496">
        <v>0</v>
      </c>
      <c r="L31" s="509">
        <f t="shared" si="0"/>
        <v>7011400</v>
      </c>
      <c r="M31" s="640" t="s">
        <v>1714</v>
      </c>
      <c r="N31" s="79"/>
      <c r="O31" s="495"/>
      <c r="P31" s="495"/>
      <c r="Q31" s="495"/>
      <c r="R31" s="495"/>
      <c r="S31" s="496"/>
      <c r="T31" s="511"/>
      <c r="U31" s="495"/>
      <c r="V31" s="638"/>
      <c r="X31" s="495"/>
      <c r="Y31" s="495"/>
      <c r="Z31" s="501" t="s">
        <v>1696</v>
      </c>
      <c r="AA31"/>
      <c r="AB31"/>
      <c r="AC31"/>
      <c r="AD31"/>
      <c r="AF31"/>
      <c r="AG31"/>
      <c r="AH31"/>
      <c r="AI31"/>
      <c r="AJ31"/>
      <c r="AK31"/>
      <c r="AL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row>
    <row r="32" spans="2:1019">
      <c r="B32" s="171" t="s">
        <v>935</v>
      </c>
      <c r="C32" s="495">
        <v>200000</v>
      </c>
      <c r="D32" s="495">
        <v>550000</v>
      </c>
      <c r="E32" s="495">
        <v>680000</v>
      </c>
      <c r="F32" s="495">
        <v>224000</v>
      </c>
      <c r="G32" s="495">
        <v>60000</v>
      </c>
      <c r="H32" s="495">
        <v>200400</v>
      </c>
      <c r="I32" s="495">
        <v>2800000</v>
      </c>
      <c r="J32" s="495">
        <v>0</v>
      </c>
      <c r="K32" s="496">
        <v>2700000</v>
      </c>
      <c r="L32" s="509">
        <f t="shared" si="0"/>
        <v>7414400</v>
      </c>
      <c r="M32" s="640" t="s">
        <v>1710</v>
      </c>
      <c r="N32" s="79"/>
      <c r="O32" s="510">
        <v>11000</v>
      </c>
      <c r="P32" s="510">
        <v>4720</v>
      </c>
      <c r="Q32" s="510">
        <v>7880</v>
      </c>
      <c r="R32" s="510"/>
      <c r="S32" s="512">
        <v>7200</v>
      </c>
      <c r="T32" s="510">
        <f>SUM(O32:S32)</f>
        <v>30800</v>
      </c>
      <c r="U32" s="510">
        <f>T32*90</f>
        <v>2772000</v>
      </c>
      <c r="V32" s="641" t="s">
        <v>2172</v>
      </c>
      <c r="X32" s="510">
        <f>L32+U32</f>
        <v>10186400</v>
      </c>
      <c r="Y32" s="638" t="s">
        <v>2177</v>
      </c>
      <c r="Z32" s="501" t="s">
        <v>1698</v>
      </c>
      <c r="AA32"/>
      <c r="AB32"/>
      <c r="AC32"/>
      <c r="AD32"/>
      <c r="AF32"/>
      <c r="AG32"/>
      <c r="AH32"/>
      <c r="AI32"/>
      <c r="AJ32"/>
      <c r="AK32"/>
      <c r="AL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row>
    <row r="33" spans="2:1019">
      <c r="B33" s="171" t="s">
        <v>1061</v>
      </c>
      <c r="C33" s="495">
        <v>784000</v>
      </c>
      <c r="D33" s="495">
        <f>D32</f>
        <v>550000</v>
      </c>
      <c r="E33" s="495">
        <v>695000</v>
      </c>
      <c r="F33" s="495">
        <v>265000</v>
      </c>
      <c r="G33" s="495">
        <v>203000</v>
      </c>
      <c r="H33" s="495">
        <v>120000</v>
      </c>
      <c r="I33" s="495">
        <v>5800000</v>
      </c>
      <c r="J33" s="495">
        <v>0</v>
      </c>
      <c r="K33" s="496">
        <v>2700000</v>
      </c>
      <c r="L33" s="510">
        <f t="shared" si="0"/>
        <v>11117000</v>
      </c>
      <c r="M33" s="640" t="s">
        <v>2197</v>
      </c>
      <c r="N33" s="79"/>
      <c r="O33" s="510">
        <v>10300</v>
      </c>
      <c r="P33" s="510">
        <v>5576</v>
      </c>
      <c r="Q33" s="510">
        <v>9824</v>
      </c>
      <c r="R33" s="510"/>
      <c r="S33" s="512">
        <v>7800</v>
      </c>
      <c r="T33" s="510">
        <f>SUM(O33:S33)</f>
        <v>33500</v>
      </c>
      <c r="U33" s="510">
        <f>T33*90</f>
        <v>3015000</v>
      </c>
      <c r="V33" s="642" t="s">
        <v>2173</v>
      </c>
      <c r="X33" s="510">
        <f>L33+U33</f>
        <v>14132000</v>
      </c>
      <c r="Y33" s="638" t="s">
        <v>2178</v>
      </c>
      <c r="Z33" s="501" t="s">
        <v>1697</v>
      </c>
      <c r="AA33"/>
      <c r="AB33"/>
      <c r="AC33"/>
      <c r="AD33"/>
      <c r="AF33"/>
      <c r="AG33"/>
      <c r="AH33"/>
      <c r="AI33"/>
      <c r="AJ33"/>
      <c r="AK33"/>
      <c r="AL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row>
    <row r="34" spans="2:1019">
      <c r="B34" s="171" t="s">
        <v>1680</v>
      </c>
      <c r="C34" s="495">
        <v>881688</v>
      </c>
      <c r="D34" s="498">
        <f>D33</f>
        <v>550000</v>
      </c>
      <c r="E34" s="495">
        <v>695000</v>
      </c>
      <c r="F34" s="495">
        <v>302000</v>
      </c>
      <c r="G34" s="495">
        <v>100000</v>
      </c>
      <c r="H34" s="495">
        <v>120000</v>
      </c>
      <c r="I34" s="495">
        <v>6300000</v>
      </c>
      <c r="J34" s="495">
        <v>650000</v>
      </c>
      <c r="K34" s="496">
        <v>2700000</v>
      </c>
      <c r="L34" s="510">
        <f>SUM(C34:K34)</f>
        <v>12298688</v>
      </c>
      <c r="M34" s="640" t="s">
        <v>2196</v>
      </c>
      <c r="N34" s="77"/>
      <c r="O34" s="510">
        <v>5605</v>
      </c>
      <c r="P34" s="510">
        <v>4649</v>
      </c>
      <c r="Q34" s="510">
        <v>14800</v>
      </c>
      <c r="R34" s="510">
        <v>49563</v>
      </c>
      <c r="S34" s="512">
        <v>3550</v>
      </c>
      <c r="T34" s="510">
        <f>SUM(O34:S34)</f>
        <v>78167</v>
      </c>
      <c r="U34" s="510">
        <f>T34*90</f>
        <v>7035030</v>
      </c>
      <c r="V34" s="642" t="s">
        <v>1714</v>
      </c>
      <c r="X34" s="510">
        <f>L34+U34</f>
        <v>19333718</v>
      </c>
      <c r="Y34" s="638" t="s">
        <v>2179</v>
      </c>
      <c r="Z34" s="501" t="s">
        <v>1693</v>
      </c>
      <c r="AA34"/>
      <c r="AB34"/>
      <c r="AC34"/>
      <c r="AD34"/>
      <c r="AF34"/>
    </row>
    <row r="35" spans="2:1019">
      <c r="B35" s="171" t="s">
        <v>2168</v>
      </c>
      <c r="C35" s="638">
        <v>45500</v>
      </c>
      <c r="D35" s="498">
        <v>600000</v>
      </c>
      <c r="E35" s="638">
        <v>1130000</v>
      </c>
      <c r="F35" s="638">
        <v>337000</v>
      </c>
      <c r="G35" s="638">
        <v>226000</v>
      </c>
      <c r="H35" s="638">
        <v>352500</v>
      </c>
      <c r="I35" s="638">
        <v>6616000</v>
      </c>
      <c r="J35" s="638">
        <v>650000</v>
      </c>
      <c r="K35" s="639">
        <v>2700000</v>
      </c>
      <c r="L35" s="513">
        <f>SUM(C35:K35)</f>
        <v>12657000</v>
      </c>
      <c r="M35" s="640" t="s">
        <v>2195</v>
      </c>
      <c r="N35" s="77"/>
      <c r="O35" s="513">
        <v>30975</v>
      </c>
      <c r="P35" s="513">
        <v>4556</v>
      </c>
      <c r="Q35" s="513">
        <v>11965</v>
      </c>
      <c r="R35" s="513">
        <v>49563</v>
      </c>
      <c r="S35" s="637">
        <v>3550</v>
      </c>
      <c r="T35" s="513">
        <f>SUM(O35:S35)</f>
        <v>100609</v>
      </c>
      <c r="U35" s="513">
        <f>T35*105</f>
        <v>10563945</v>
      </c>
      <c r="V35" s="642" t="s">
        <v>2174</v>
      </c>
      <c r="X35" s="513">
        <f>L35+U35</f>
        <v>23220945</v>
      </c>
      <c r="Y35" s="638" t="s">
        <v>2198</v>
      </c>
      <c r="Z35" s="501" t="s">
        <v>2199</v>
      </c>
      <c r="AA35"/>
      <c r="AB35"/>
      <c r="AC35"/>
      <c r="AD35"/>
      <c r="AF35"/>
    </row>
    <row r="36" spans="2:1019" s="645" customFormat="1" ht="12"/>
    <row r="37" spans="2:1019" s="645" customFormat="1" ht="12">
      <c r="C37" s="655"/>
      <c r="D37" s="655"/>
      <c r="E37" s="655"/>
      <c r="F37" s="655"/>
      <c r="G37" s="655"/>
      <c r="H37" s="655"/>
      <c r="I37" s="655"/>
      <c r="J37" s="655"/>
      <c r="K37" s="655"/>
      <c r="O37" s="655"/>
      <c r="P37" s="655"/>
      <c r="Q37" s="655"/>
      <c r="R37" s="655"/>
      <c r="S37" s="655"/>
    </row>
    <row r="38" spans="2:1019">
      <c r="B38" s="645"/>
      <c r="C38" s="645"/>
      <c r="D38" s="645"/>
      <c r="E38" s="645"/>
      <c r="F38" s="645"/>
      <c r="G38" s="645"/>
      <c r="H38" s="645"/>
      <c r="I38" s="645"/>
      <c r="J38" s="645"/>
      <c r="K38" s="645"/>
      <c r="L38" s="645"/>
      <c r="M38" s="645"/>
      <c r="N38" s="645"/>
      <c r="O38" s="645"/>
      <c r="P38" s="646"/>
      <c r="Q38" s="646"/>
      <c r="R38" s="646"/>
      <c r="S38" s="645"/>
      <c r="T38" s="645"/>
      <c r="U38" s="645"/>
      <c r="V38" s="645"/>
      <c r="W38" s="645"/>
      <c r="X38" s="645"/>
      <c r="Y38" s="645"/>
      <c r="Z38" s="645"/>
    </row>
    <row r="39" spans="2:1019" ht="15">
      <c r="B39" s="505" t="s">
        <v>1723</v>
      </c>
      <c r="E39" s="10"/>
      <c r="F39" s="10"/>
      <c r="H39" s="10"/>
      <c r="N39" s="62"/>
      <c r="O39" s="62"/>
    </row>
    <row r="40" spans="2:1019" ht="15">
      <c r="B40" s="257" t="s">
        <v>777</v>
      </c>
      <c r="C40" s="257" t="s">
        <v>783</v>
      </c>
      <c r="D40" s="257" t="s">
        <v>390</v>
      </c>
      <c r="E40" s="257" t="s">
        <v>782</v>
      </c>
      <c r="F40" s="257" t="s">
        <v>781</v>
      </c>
      <c r="G40" s="257" t="s">
        <v>307</v>
      </c>
      <c r="H40" s="10"/>
      <c r="I40" s="505" t="s">
        <v>1709</v>
      </c>
      <c r="N40" s="62"/>
      <c r="O40" s="62"/>
    </row>
    <row r="41" spans="2:1019">
      <c r="B41" s="255" t="s">
        <v>780</v>
      </c>
      <c r="C41" s="255">
        <v>1000000</v>
      </c>
      <c r="D41" s="256" t="s">
        <v>778</v>
      </c>
      <c r="E41" s="256" t="s">
        <v>779</v>
      </c>
      <c r="F41" s="255">
        <v>1054136</v>
      </c>
      <c r="G41" s="255" t="s">
        <v>784</v>
      </c>
      <c r="I41" s="257" t="s">
        <v>25</v>
      </c>
      <c r="J41" s="257" t="s">
        <v>1721</v>
      </c>
      <c r="K41" s="257" t="s">
        <v>146</v>
      </c>
      <c r="L41" s="257" t="s">
        <v>307</v>
      </c>
      <c r="O41" s="62"/>
    </row>
    <row r="42" spans="2:1019">
      <c r="B42" s="255" t="s">
        <v>827</v>
      </c>
      <c r="C42" s="255">
        <v>1500000</v>
      </c>
      <c r="D42" s="255" t="s">
        <v>828</v>
      </c>
      <c r="E42" s="255"/>
      <c r="F42" s="255" t="s">
        <v>829</v>
      </c>
      <c r="G42" s="255" t="s">
        <v>790</v>
      </c>
      <c r="I42" s="77">
        <v>1</v>
      </c>
      <c r="J42" s="510">
        <v>4000</v>
      </c>
      <c r="K42" s="265" t="s">
        <v>977</v>
      </c>
      <c r="L42" s="77"/>
      <c r="O42" s="62"/>
    </row>
    <row r="43" spans="2:1019">
      <c r="B43" s="248" t="s">
        <v>825</v>
      </c>
      <c r="C43" s="248">
        <v>57275</v>
      </c>
      <c r="D43" s="248"/>
      <c r="E43" s="248" t="s">
        <v>826</v>
      </c>
      <c r="F43" s="248">
        <v>63259</v>
      </c>
      <c r="G43" s="248" t="s">
        <v>790</v>
      </c>
      <c r="H43" s="62" t="s">
        <v>1068</v>
      </c>
      <c r="I43" s="77">
        <v>2</v>
      </c>
      <c r="J43" s="510">
        <v>5000</v>
      </c>
      <c r="K43" s="266" t="s">
        <v>976</v>
      </c>
      <c r="L43" s="77"/>
      <c r="O43" s="62"/>
    </row>
    <row r="44" spans="2:1019">
      <c r="E44" s="10"/>
      <c r="F44" s="10"/>
      <c r="G44" s="10"/>
      <c r="I44" s="77">
        <v>3</v>
      </c>
      <c r="J44" s="510">
        <v>5000</v>
      </c>
      <c r="K44" s="266" t="s">
        <v>989</v>
      </c>
      <c r="L44" s="77"/>
    </row>
    <row r="45" spans="2:1019">
      <c r="I45" s="77">
        <v>4</v>
      </c>
      <c r="J45" s="510">
        <v>4999</v>
      </c>
      <c r="K45" s="266" t="s">
        <v>1012</v>
      </c>
      <c r="L45" s="77"/>
    </row>
    <row r="46" spans="2:1019" ht="15">
      <c r="B46" s="505" t="s">
        <v>1722</v>
      </c>
      <c r="C46" s="505"/>
      <c r="F46" s="10"/>
      <c r="G46" s="10"/>
      <c r="H46" s="10"/>
      <c r="I46" s="77">
        <v>5</v>
      </c>
      <c r="J46" s="510">
        <v>4000</v>
      </c>
      <c r="K46" s="266" t="s">
        <v>1055</v>
      </c>
      <c r="L46" s="77"/>
    </row>
    <row r="47" spans="2:1019">
      <c r="B47" s="257" t="s">
        <v>1719</v>
      </c>
      <c r="C47" s="257" t="s">
        <v>817</v>
      </c>
      <c r="D47" s="257" t="s">
        <v>818</v>
      </c>
      <c r="E47" s="257" t="s">
        <v>819</v>
      </c>
      <c r="F47" s="10"/>
      <c r="G47" s="10"/>
      <c r="H47" s="10"/>
      <c r="I47" s="77"/>
      <c r="J47" s="513">
        <f>SUM(J42:J46)</f>
        <v>22999</v>
      </c>
      <c r="K47" s="513">
        <f>J47*90</f>
        <v>2069910</v>
      </c>
      <c r="L47" s="513" t="s">
        <v>1105</v>
      </c>
      <c r="M47" s="83"/>
    </row>
    <row r="48" spans="2:1019">
      <c r="B48" s="77" t="s">
        <v>971</v>
      </c>
      <c r="C48" s="77">
        <v>35000</v>
      </c>
      <c r="D48" s="77">
        <v>21200</v>
      </c>
      <c r="E48" s="77">
        <f>C48-D48</f>
        <v>13800</v>
      </c>
      <c r="F48" s="10"/>
      <c r="G48" s="10"/>
      <c r="H48" s="10"/>
      <c r="S48" s="83"/>
    </row>
    <row r="49" spans="1:19">
      <c r="B49" s="77" t="s">
        <v>972</v>
      </c>
      <c r="C49" s="77">
        <v>43400</v>
      </c>
      <c r="D49" s="77">
        <v>29000</v>
      </c>
      <c r="E49" s="77">
        <f>C49-D49</f>
        <v>14400</v>
      </c>
      <c r="F49" s="10"/>
      <c r="G49" s="10"/>
      <c r="H49" s="10"/>
      <c r="S49" s="83"/>
    </row>
    <row r="50" spans="1:19">
      <c r="B50" s="77" t="s">
        <v>1099</v>
      </c>
      <c r="C50" s="77">
        <v>47650</v>
      </c>
      <c r="D50" s="77">
        <v>22200</v>
      </c>
      <c r="E50" s="77">
        <f>C50-D50</f>
        <v>25450</v>
      </c>
      <c r="F50" s="10"/>
      <c r="G50" s="10"/>
      <c r="H50" s="10"/>
      <c r="M50" s="83"/>
      <c r="S50" s="83"/>
    </row>
    <row r="51" spans="1:19">
      <c r="B51" s="77" t="s">
        <v>1718</v>
      </c>
      <c r="C51" s="77">
        <v>64200</v>
      </c>
      <c r="D51" s="77">
        <v>33200</v>
      </c>
      <c r="E51" s="77">
        <f>C51-D51</f>
        <v>31000</v>
      </c>
      <c r="F51" s="10"/>
      <c r="G51" s="10"/>
      <c r="H51" s="10"/>
    </row>
    <row r="52" spans="1:19">
      <c r="E52" s="10"/>
      <c r="F52" s="10"/>
      <c r="G52" s="10"/>
      <c r="H52" s="10"/>
    </row>
    <row r="53" spans="1:19">
      <c r="E53" s="10"/>
      <c r="G53" s="10"/>
      <c r="H53" s="10"/>
    </row>
    <row r="54" spans="1:19" ht="15.75">
      <c r="B54" s="505" t="s">
        <v>1724</v>
      </c>
      <c r="C54" s="258"/>
      <c r="D54" s="258"/>
      <c r="E54" s="258"/>
      <c r="F54" s="258"/>
      <c r="G54" s="258"/>
      <c r="H54" s="258"/>
      <c r="I54" s="258"/>
      <c r="J54" s="258"/>
      <c r="K54" s="258"/>
      <c r="M54" s="603" t="s">
        <v>1996</v>
      </c>
      <c r="N54" s="605"/>
      <c r="O54" s="604"/>
      <c r="P54" s="604"/>
      <c r="Q54" s="604"/>
    </row>
    <row r="55" spans="1:19" ht="14.1" customHeight="1">
      <c r="B55" s="77" t="s">
        <v>390</v>
      </c>
      <c r="C55" s="77" t="s">
        <v>939</v>
      </c>
      <c r="D55" s="77" t="s">
        <v>940</v>
      </c>
      <c r="E55" s="77" t="s">
        <v>950</v>
      </c>
      <c r="F55" s="261" t="s">
        <v>951</v>
      </c>
      <c r="G55" s="261"/>
      <c r="H55" s="261" t="s">
        <v>953</v>
      </c>
      <c r="I55" s="77" t="s">
        <v>954</v>
      </c>
      <c r="J55" s="77"/>
      <c r="K55" s="261" t="s">
        <v>958</v>
      </c>
      <c r="M55" s="605" t="s">
        <v>310</v>
      </c>
      <c r="N55" s="605" t="s">
        <v>1998</v>
      </c>
      <c r="O55" s="605" t="s">
        <v>2001</v>
      </c>
      <c r="P55" s="605" t="s">
        <v>2000</v>
      </c>
      <c r="Q55" s="605" t="s">
        <v>382</v>
      </c>
    </row>
    <row r="56" spans="1:19" ht="12" customHeight="1">
      <c r="B56" s="182" t="s">
        <v>865</v>
      </c>
      <c r="C56" s="182" t="s">
        <v>945</v>
      </c>
      <c r="D56" s="182" t="s">
        <v>874</v>
      </c>
      <c r="E56" s="77" t="s">
        <v>947</v>
      </c>
      <c r="F56" s="261" t="s">
        <v>952</v>
      </c>
      <c r="G56" s="261"/>
      <c r="H56" s="261" t="s">
        <v>809</v>
      </c>
      <c r="I56" s="77" t="s">
        <v>955</v>
      </c>
      <c r="J56" s="77"/>
      <c r="K56" s="77" t="s">
        <v>959</v>
      </c>
      <c r="M56" s="602" t="s">
        <v>1997</v>
      </c>
      <c r="N56" s="602">
        <v>10</v>
      </c>
      <c r="O56" s="606" t="s">
        <v>1999</v>
      </c>
      <c r="P56" s="602" t="s">
        <v>2004</v>
      </c>
      <c r="Q56" s="602" t="s">
        <v>2003</v>
      </c>
    </row>
    <row r="57" spans="1:19" ht="24">
      <c r="B57" s="77" t="s">
        <v>938</v>
      </c>
      <c r="C57" s="182" t="s">
        <v>946</v>
      </c>
      <c r="D57" s="182" t="s">
        <v>943</v>
      </c>
      <c r="E57" s="77" t="s">
        <v>948</v>
      </c>
      <c r="F57" s="261"/>
      <c r="G57" s="261"/>
      <c r="H57" s="261" t="s">
        <v>810</v>
      </c>
      <c r="I57" s="77" t="s">
        <v>956</v>
      </c>
      <c r="J57" s="77"/>
      <c r="K57" s="77" t="s">
        <v>960</v>
      </c>
      <c r="M57" s="602" t="s">
        <v>1855</v>
      </c>
      <c r="N57" s="602"/>
      <c r="O57" s="606"/>
      <c r="P57" s="606"/>
      <c r="Q57" s="602"/>
    </row>
    <row r="58" spans="1:19" ht="15">
      <c r="B58" s="77"/>
      <c r="C58" s="77" t="s">
        <v>949</v>
      </c>
      <c r="D58" s="296" t="s">
        <v>944</v>
      </c>
      <c r="E58" s="77"/>
      <c r="F58" s="77" t="s">
        <v>1689</v>
      </c>
      <c r="G58" s="77" t="s">
        <v>1690</v>
      </c>
      <c r="H58" s="261" t="s">
        <v>942</v>
      </c>
      <c r="I58" s="262" t="s">
        <v>957</v>
      </c>
      <c r="J58" s="262"/>
      <c r="K58" s="77"/>
      <c r="M58" s="602" t="s">
        <v>1472</v>
      </c>
      <c r="N58" s="602"/>
      <c r="O58" s="606"/>
      <c r="P58" s="606"/>
      <c r="Q58" s="602"/>
    </row>
    <row r="59" spans="1:19" ht="15">
      <c r="B59" s="10">
        <v>6184</v>
      </c>
      <c r="C59" s="10">
        <f>(B59-4841)/4841*100</f>
        <v>27.742202024375128</v>
      </c>
      <c r="D59" s="177"/>
      <c r="E59" s="10"/>
      <c r="F59" s="10"/>
      <c r="G59" s="10"/>
      <c r="I59" s="83"/>
      <c r="J59" s="83"/>
      <c r="M59" s="602" t="s">
        <v>2002</v>
      </c>
      <c r="N59" s="602"/>
      <c r="O59" s="606"/>
      <c r="P59" s="606"/>
      <c r="Q59" s="602"/>
    </row>
    <row r="60" spans="1:19" ht="15">
      <c r="D60" s="177"/>
      <c r="E60" s="10"/>
      <c r="F60" s="10"/>
      <c r="G60" s="10"/>
      <c r="I60" s="83"/>
      <c r="J60" s="83"/>
      <c r="M60" s="602"/>
      <c r="N60" s="602"/>
      <c r="O60" s="606"/>
      <c r="P60" s="606"/>
      <c r="Q60" s="602"/>
    </row>
    <row r="61" spans="1:19" ht="15.75">
      <c r="A61" s="10"/>
      <c r="B61" s="439" t="s">
        <v>1725</v>
      </c>
      <c r="C61" s="92" t="s">
        <v>1985</v>
      </c>
      <c r="D61" s="177"/>
      <c r="E61" s="10"/>
      <c r="F61" s="10"/>
      <c r="G61" s="10"/>
      <c r="H61" s="439" t="s">
        <v>1726</v>
      </c>
      <c r="I61" s="83"/>
      <c r="J61" s="83"/>
      <c r="M61" s="602" t="s">
        <v>2008</v>
      </c>
      <c r="N61" s="602" t="s">
        <v>2005</v>
      </c>
      <c r="O61" s="606" t="s">
        <v>2009</v>
      </c>
      <c r="P61" s="606" t="s">
        <v>2006</v>
      </c>
      <c r="Q61" s="607" t="s">
        <v>2007</v>
      </c>
    </row>
    <row r="62" spans="1:19" ht="15">
      <c r="A62" s="10"/>
      <c r="B62" s="257" t="s">
        <v>44</v>
      </c>
      <c r="C62" s="257" t="s">
        <v>1365</v>
      </c>
      <c r="D62" s="257" t="s">
        <v>1366</v>
      </c>
      <c r="E62" s="257" t="s">
        <v>307</v>
      </c>
      <c r="F62" s="10"/>
      <c r="G62" s="10"/>
      <c r="H62" s="257" t="s">
        <v>785</v>
      </c>
      <c r="I62" s="257" t="s">
        <v>788</v>
      </c>
      <c r="J62" s="257" t="s">
        <v>789</v>
      </c>
      <c r="M62" s="602"/>
      <c r="N62" s="602"/>
      <c r="O62" s="606"/>
      <c r="P62" s="606"/>
      <c r="Q62" s="602"/>
    </row>
    <row r="63" spans="1:19">
      <c r="A63" s="10"/>
      <c r="B63" s="77" t="s">
        <v>1364</v>
      </c>
      <c r="C63" s="77">
        <v>300000</v>
      </c>
      <c r="D63" s="182" t="s">
        <v>1367</v>
      </c>
      <c r="E63" s="77" t="s">
        <v>1504</v>
      </c>
      <c r="F63" s="10"/>
      <c r="G63" s="10"/>
      <c r="H63" s="242" t="s">
        <v>786</v>
      </c>
      <c r="I63" s="77">
        <v>523.20000000000005</v>
      </c>
      <c r="J63" s="77">
        <f>I63*72.06</f>
        <v>37701.792000000001</v>
      </c>
    </row>
    <row r="64" spans="1:19">
      <c r="A64" s="10"/>
      <c r="B64" s="77" t="s">
        <v>1502</v>
      </c>
      <c r="C64" s="77">
        <v>200000</v>
      </c>
      <c r="D64" s="77"/>
      <c r="E64" s="79"/>
      <c r="F64" s="10"/>
      <c r="G64" s="10"/>
      <c r="H64" s="242" t="s">
        <v>787</v>
      </c>
      <c r="I64" s="77">
        <v>99.8</v>
      </c>
      <c r="J64" s="77">
        <f>I64*72.4</f>
        <v>7225.52</v>
      </c>
    </row>
    <row r="65" spans="1:13">
      <c r="A65" s="10"/>
      <c r="B65" s="77" t="s">
        <v>1501</v>
      </c>
      <c r="C65" s="77">
        <v>50000</v>
      </c>
      <c r="D65" s="182"/>
      <c r="E65" s="77"/>
      <c r="F65" s="10"/>
      <c r="G65" s="10"/>
      <c r="H65" s="77"/>
      <c r="I65" s="77"/>
      <c r="J65" s="77">
        <f>SUM(J63,J64)</f>
        <v>44927.312000000005</v>
      </c>
    </row>
    <row r="66" spans="1:13">
      <c r="A66" s="10"/>
      <c r="B66" s="77" t="s">
        <v>1503</v>
      </c>
      <c r="C66" s="77">
        <v>100000</v>
      </c>
      <c r="D66" s="182"/>
      <c r="E66" s="77"/>
      <c r="F66" s="10"/>
      <c r="G66" s="10"/>
      <c r="I66" s="83"/>
      <c r="J66" s="83"/>
    </row>
    <row r="67" spans="1:13">
      <c r="A67" s="10"/>
      <c r="B67" s="77"/>
      <c r="C67" s="440">
        <f>SUM(C63:C66)</f>
        <v>650000</v>
      </c>
      <c r="D67" s="77"/>
      <c r="E67" s="79"/>
      <c r="F67" s="10"/>
      <c r="G67" s="10"/>
      <c r="I67" s="83"/>
      <c r="J67" s="83"/>
    </row>
    <row r="68" spans="1:13">
      <c r="D68" s="177"/>
      <c r="E68" s="10"/>
      <c r="F68" s="10"/>
      <c r="G68" s="10"/>
      <c r="I68" s="83"/>
    </row>
    <row r="69" spans="1:13">
      <c r="D69" s="177"/>
      <c r="E69" s="10"/>
      <c r="F69" s="10"/>
      <c r="G69" s="10"/>
      <c r="I69" s="83"/>
    </row>
    <row r="70" spans="1:13" ht="15.75">
      <c r="B70" s="439" t="s">
        <v>1727</v>
      </c>
      <c r="D70" s="177"/>
      <c r="E70" s="10"/>
      <c r="F70" s="10"/>
      <c r="G70" s="10"/>
      <c r="I70" s="83"/>
    </row>
    <row r="71" spans="1:13">
      <c r="B71" s="257"/>
      <c r="C71" s="257" t="s">
        <v>1685</v>
      </c>
      <c r="D71" s="257" t="s">
        <v>1683</v>
      </c>
      <c r="E71" s="257" t="s">
        <v>289</v>
      </c>
      <c r="F71" s="257" t="s">
        <v>290</v>
      </c>
      <c r="G71" s="257" t="s">
        <v>283</v>
      </c>
      <c r="H71" s="257" t="s">
        <v>284</v>
      </c>
      <c r="I71" s="83"/>
      <c r="J71" s="257" t="s">
        <v>830</v>
      </c>
      <c r="K71" s="257"/>
      <c r="L71" s="257"/>
      <c r="M71" s="257"/>
    </row>
    <row r="72" spans="1:13">
      <c r="B72" s="167" t="s">
        <v>177</v>
      </c>
      <c r="C72" s="167" t="s">
        <v>42</v>
      </c>
      <c r="D72" s="167">
        <v>-67681</v>
      </c>
      <c r="E72" s="167" t="s">
        <v>278</v>
      </c>
      <c r="F72" s="167" t="s">
        <v>282</v>
      </c>
      <c r="G72" s="167" t="s">
        <v>281</v>
      </c>
      <c r="H72" s="249" t="s">
        <v>266</v>
      </c>
      <c r="I72" s="83"/>
      <c r="J72" s="78"/>
      <c r="K72" s="78" t="s">
        <v>783</v>
      </c>
      <c r="L72" s="78" t="s">
        <v>822</v>
      </c>
      <c r="M72" s="243" t="s">
        <v>111</v>
      </c>
    </row>
    <row r="73" spans="1:13">
      <c r="B73" s="167" t="s">
        <v>291</v>
      </c>
      <c r="C73" s="168" t="s">
        <v>293</v>
      </c>
      <c r="D73" s="167"/>
      <c r="E73" s="169"/>
      <c r="F73" s="169"/>
      <c r="G73" s="170" t="s">
        <v>286</v>
      </c>
      <c r="H73" s="249" t="s">
        <v>266</v>
      </c>
      <c r="I73" s="83"/>
      <c r="J73" s="77" t="s">
        <v>821</v>
      </c>
      <c r="K73" s="77">
        <v>190000</v>
      </c>
      <c r="L73" s="77" t="s">
        <v>823</v>
      </c>
      <c r="M73" s="79" t="s">
        <v>824</v>
      </c>
    </row>
    <row r="74" spans="1:13">
      <c r="B74" s="167" t="s">
        <v>179</v>
      </c>
      <c r="C74" s="169" t="s">
        <v>292</v>
      </c>
      <c r="D74" s="167"/>
      <c r="E74" s="169"/>
      <c r="F74" s="169"/>
      <c r="G74" s="167" t="s">
        <v>287</v>
      </c>
      <c r="H74" s="249" t="s">
        <v>266</v>
      </c>
      <c r="I74" s="83"/>
      <c r="J74" s="77" t="s">
        <v>831</v>
      </c>
      <c r="K74" s="77">
        <v>200000</v>
      </c>
      <c r="L74" s="77" t="s">
        <v>823</v>
      </c>
      <c r="M74" s="79" t="s">
        <v>824</v>
      </c>
    </row>
    <row r="75" spans="1:13">
      <c r="B75" s="167" t="s">
        <v>179</v>
      </c>
      <c r="C75" s="168" t="s">
        <v>285</v>
      </c>
      <c r="D75" s="167">
        <v>-160000</v>
      </c>
      <c r="E75" s="168" t="s">
        <v>656</v>
      </c>
      <c r="F75" s="168" t="s">
        <v>657</v>
      </c>
      <c r="G75" s="167"/>
      <c r="H75" s="249" t="s">
        <v>266</v>
      </c>
      <c r="J75" s="77" t="s">
        <v>832</v>
      </c>
      <c r="K75" s="77">
        <v>200000</v>
      </c>
      <c r="L75" s="77" t="s">
        <v>823</v>
      </c>
      <c r="M75" s="79" t="s">
        <v>824</v>
      </c>
    </row>
    <row r="76" spans="1:13">
      <c r="B76" s="167" t="s">
        <v>279</v>
      </c>
      <c r="C76" s="168" t="s">
        <v>288</v>
      </c>
      <c r="D76" s="167">
        <v>-50000</v>
      </c>
      <c r="E76" s="169"/>
      <c r="F76" s="169" t="s">
        <v>711</v>
      </c>
      <c r="G76" s="167" t="s">
        <v>712</v>
      </c>
      <c r="H76" s="249" t="s">
        <v>266</v>
      </c>
      <c r="J76" s="77" t="s">
        <v>833</v>
      </c>
      <c r="K76" s="77">
        <v>200000</v>
      </c>
      <c r="L76" s="77" t="s">
        <v>823</v>
      </c>
      <c r="M76" s="79" t="s">
        <v>824</v>
      </c>
    </row>
    <row r="77" spans="1:13">
      <c r="B77" s="169" t="s">
        <v>178</v>
      </c>
      <c r="C77" s="169" t="s">
        <v>295</v>
      </c>
      <c r="D77" s="167">
        <v>-20000</v>
      </c>
      <c r="E77" s="169">
        <v>43435</v>
      </c>
      <c r="F77" s="169" t="s">
        <v>296</v>
      </c>
      <c r="G77" s="169" t="s">
        <v>297</v>
      </c>
      <c r="H77" s="250" t="s">
        <v>266</v>
      </c>
      <c r="J77" s="77" t="s">
        <v>833</v>
      </c>
      <c r="K77" s="77">
        <v>10000</v>
      </c>
      <c r="L77" s="77" t="s">
        <v>823</v>
      </c>
      <c r="M77" s="79" t="s">
        <v>834</v>
      </c>
    </row>
    <row r="78" spans="1:13">
      <c r="B78" s="79" t="s">
        <v>671</v>
      </c>
      <c r="C78" s="182" t="s">
        <v>656</v>
      </c>
      <c r="D78" s="77">
        <v>-15000</v>
      </c>
      <c r="E78" s="77"/>
      <c r="F78" s="77"/>
      <c r="G78" s="77"/>
      <c r="H78" s="250" t="s">
        <v>886</v>
      </c>
      <c r="J78" s="77" t="s">
        <v>850</v>
      </c>
      <c r="K78" s="77">
        <v>200000</v>
      </c>
      <c r="L78" s="77" t="s">
        <v>851</v>
      </c>
      <c r="M78" s="79" t="s">
        <v>834</v>
      </c>
    </row>
    <row r="79" spans="1:13">
      <c r="B79" s="79" t="s">
        <v>895</v>
      </c>
      <c r="C79" s="182" t="s">
        <v>896</v>
      </c>
      <c r="D79" s="77">
        <v>41153</v>
      </c>
      <c r="E79" s="77"/>
      <c r="F79" s="77"/>
      <c r="G79" s="77" t="s">
        <v>898</v>
      </c>
      <c r="H79" s="248" t="s">
        <v>1720</v>
      </c>
      <c r="J79" s="77" t="s">
        <v>850</v>
      </c>
      <c r="K79" s="77">
        <v>200000</v>
      </c>
      <c r="L79" s="77" t="s">
        <v>852</v>
      </c>
      <c r="M79" s="79" t="s">
        <v>834</v>
      </c>
    </row>
    <row r="80" spans="1:13">
      <c r="B80" s="79" t="s">
        <v>895</v>
      </c>
      <c r="C80" s="182" t="s">
        <v>897</v>
      </c>
      <c r="D80" s="77">
        <v>470000</v>
      </c>
      <c r="E80" s="77"/>
      <c r="F80" s="79"/>
      <c r="G80" s="77" t="s">
        <v>899</v>
      </c>
      <c r="H80" s="248" t="s">
        <v>900</v>
      </c>
      <c r="J80" s="77" t="s">
        <v>850</v>
      </c>
      <c r="K80" s="77">
        <v>200000</v>
      </c>
      <c r="L80" s="77" t="s">
        <v>853</v>
      </c>
      <c r="M80" s="79" t="s">
        <v>834</v>
      </c>
    </row>
    <row r="81" spans="2:13">
      <c r="B81" s="167" t="s">
        <v>179</v>
      </c>
      <c r="C81" s="182" t="s">
        <v>932</v>
      </c>
      <c r="D81" s="77">
        <v>-2705000</v>
      </c>
      <c r="E81" s="77"/>
      <c r="F81" s="79"/>
      <c r="G81" s="77"/>
      <c r="H81" s="260" t="s">
        <v>933</v>
      </c>
      <c r="J81" s="77" t="s">
        <v>865</v>
      </c>
      <c r="K81" s="77">
        <v>5000</v>
      </c>
      <c r="L81" s="248" t="s">
        <v>880</v>
      </c>
      <c r="M81" s="79" t="s">
        <v>834</v>
      </c>
    </row>
    <row r="82" spans="2:13">
      <c r="B82" s="79" t="s">
        <v>895</v>
      </c>
      <c r="C82" s="77"/>
      <c r="D82" s="77"/>
      <c r="E82" s="492" t="s">
        <v>1682</v>
      </c>
      <c r="F82" s="493">
        <v>2951.53</v>
      </c>
      <c r="G82" s="494" t="s">
        <v>1686</v>
      </c>
      <c r="H82" s="494" t="s">
        <v>1684</v>
      </c>
      <c r="J82" s="77" t="s">
        <v>870</v>
      </c>
      <c r="K82" s="77">
        <v>200000</v>
      </c>
      <c r="L82" s="77" t="s">
        <v>868</v>
      </c>
      <c r="M82" s="79" t="s">
        <v>834</v>
      </c>
    </row>
    <row r="83" spans="2:13">
      <c r="J83" s="77" t="s">
        <v>877</v>
      </c>
      <c r="K83" s="77">
        <v>200000</v>
      </c>
      <c r="L83" s="77" t="s">
        <v>866</v>
      </c>
      <c r="M83" s="79" t="s">
        <v>834</v>
      </c>
    </row>
    <row r="84" spans="2:13">
      <c r="J84" s="77" t="s">
        <v>877</v>
      </c>
      <c r="K84" s="77">
        <v>200000</v>
      </c>
      <c r="L84" s="77" t="s">
        <v>867</v>
      </c>
      <c r="M84" s="79" t="s">
        <v>834</v>
      </c>
    </row>
    <row r="85" spans="2:13">
      <c r="J85" s="77" t="s">
        <v>877</v>
      </c>
      <c r="K85" s="77">
        <v>200000</v>
      </c>
      <c r="L85" s="77" t="s">
        <v>869</v>
      </c>
      <c r="M85" s="79" t="s">
        <v>834</v>
      </c>
    </row>
    <row r="86" spans="2:13">
      <c r="J86" s="77" t="s">
        <v>877</v>
      </c>
      <c r="K86" s="77">
        <v>150000</v>
      </c>
      <c r="L86" s="77" t="s">
        <v>823</v>
      </c>
      <c r="M86" s="79" t="s">
        <v>824</v>
      </c>
    </row>
    <row r="87" spans="2:13">
      <c r="J87" s="77" t="s">
        <v>878</v>
      </c>
      <c r="K87" s="77">
        <v>150000</v>
      </c>
      <c r="L87" s="77" t="s">
        <v>823</v>
      </c>
      <c r="M87" s="79" t="s">
        <v>824</v>
      </c>
    </row>
    <row r="88" spans="2:13">
      <c r="J88" s="77" t="s">
        <v>879</v>
      </c>
      <c r="K88" s="77">
        <v>100000</v>
      </c>
      <c r="L88" s="248" t="s">
        <v>880</v>
      </c>
      <c r="M88" s="79" t="s">
        <v>834</v>
      </c>
    </row>
    <row r="89" spans="2:13">
      <c r="I89" s="62"/>
      <c r="J89" s="77" t="s">
        <v>882</v>
      </c>
      <c r="K89" s="77">
        <v>100000</v>
      </c>
      <c r="L89" s="77" t="s">
        <v>823</v>
      </c>
      <c r="M89" s="79" t="s">
        <v>824</v>
      </c>
    </row>
    <row r="90" spans="2:13">
      <c r="B90" s="257" t="s">
        <v>308</v>
      </c>
      <c r="C90" s="257" t="s">
        <v>63</v>
      </c>
      <c r="D90" s="257" t="s">
        <v>63</v>
      </c>
      <c r="E90" s="257" t="s">
        <v>63</v>
      </c>
      <c r="F90" s="257" t="s">
        <v>860</v>
      </c>
      <c r="G90" s="10"/>
      <c r="I90" s="62"/>
      <c r="J90" s="77"/>
      <c r="K90" s="77">
        <f>SUM(K73:K89)</f>
        <v>2705000</v>
      </c>
      <c r="L90" s="77"/>
      <c r="M90" s="79"/>
    </row>
    <row r="91" spans="2:13">
      <c r="B91" s="166" t="s">
        <v>309</v>
      </c>
      <c r="C91" s="84" t="s">
        <v>669</v>
      </c>
      <c r="D91" s="84"/>
      <c r="E91" s="77"/>
      <c r="F91" s="77" t="s">
        <v>670</v>
      </c>
      <c r="I91" s="62"/>
    </row>
    <row r="92" spans="2:13">
      <c r="B92" s="166" t="s">
        <v>377</v>
      </c>
      <c r="C92" s="85">
        <v>3.5000000000000003E-2</v>
      </c>
      <c r="D92" s="85">
        <v>0.08</v>
      </c>
      <c r="E92" s="85">
        <v>5.2999999999999999E-2</v>
      </c>
      <c r="F92" s="259" t="s">
        <v>931</v>
      </c>
      <c r="G92" s="10"/>
      <c r="I92" s="62"/>
    </row>
    <row r="93" spans="2:13">
      <c r="B93" s="166" t="s">
        <v>378</v>
      </c>
      <c r="C93" s="77" t="s">
        <v>379</v>
      </c>
      <c r="D93" s="77" t="s">
        <v>380</v>
      </c>
      <c r="E93" s="77" t="s">
        <v>601</v>
      </c>
      <c r="F93" s="77"/>
      <c r="I93" s="62"/>
    </row>
    <row r="94" spans="2:13">
      <c r="B94" s="62"/>
      <c r="C94" s="177"/>
      <c r="E94" s="10"/>
      <c r="G94" s="10"/>
      <c r="I94" s="62"/>
    </row>
    <row r="95" spans="2:13">
      <c r="I95" s="62"/>
    </row>
    <row r="96" spans="2:13">
      <c r="I96" s="62"/>
    </row>
    <row r="97" spans="5:10">
      <c r="I97" s="62"/>
      <c r="J97" s="62"/>
    </row>
    <row r="98" spans="5:10">
      <c r="I98" s="62"/>
      <c r="J98" s="62"/>
    </row>
    <row r="99" spans="5:10">
      <c r="I99" s="62"/>
      <c r="J99" s="62"/>
    </row>
    <row r="100" spans="5:10">
      <c r="I100" s="62"/>
      <c r="J100" s="62"/>
    </row>
    <row r="101" spans="5:10">
      <c r="I101" s="62"/>
      <c r="J101" s="62"/>
    </row>
    <row r="102" spans="5:10">
      <c r="I102" s="62"/>
      <c r="J102" s="62"/>
    </row>
    <row r="103" spans="5:10">
      <c r="I103" s="62"/>
      <c r="J103" s="62"/>
    </row>
    <row r="110" spans="5:10">
      <c r="E110" s="10"/>
      <c r="F110" s="10"/>
    </row>
    <row r="111" spans="5:10">
      <c r="E111" s="10"/>
      <c r="F111" s="10"/>
    </row>
    <row r="112" spans="5:10">
      <c r="E112" s="10"/>
      <c r="F112" s="10"/>
    </row>
    <row r="113" spans="5:6">
      <c r="E113" s="10"/>
      <c r="F113" s="10"/>
    </row>
  </sheetData>
  <mergeCells count="3">
    <mergeCell ref="B2:C2"/>
    <mergeCell ref="C26:M26"/>
    <mergeCell ref="O26:V26"/>
  </mergeCells>
  <hyperlinks>
    <hyperlink ref="H57" r:id="rId1" xr:uid="{319BB8AB-E015-1E40-9E4C-2DBD3999E4F9}"/>
    <hyperlink ref="H58" r:id="rId2" xr:uid="{FC8D8D82-BFDB-BA4A-84A9-0AD4B0A51319}"/>
    <hyperlink ref="D5" r:id="rId3" xr:uid="{ADA5229D-610D-4694-A194-F2DBE997C255}"/>
    <hyperlink ref="C61" r:id="rId4" xr:uid="{C6BABDD7-6EA8-41E8-BCC9-D4F7D2AC4776}"/>
  </hyperlinks>
  <pageMargins left="0.70000000000000007" right="0.70000000000000007" top="1.1437007874015745" bottom="1.1437007874015745" header="0.74999999999999989" footer="0.74999999999999989"/>
  <pageSetup fitToWidth="0" fitToHeight="0" orientation="portrait" r:id="rId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H63"/>
  <sheetViews>
    <sheetView topLeftCell="A25" workbookViewId="0">
      <selection activeCell="B10" sqref="B10"/>
    </sheetView>
  </sheetViews>
  <sheetFormatPr defaultColWidth="8.875" defaultRowHeight="14.25"/>
  <cols>
    <col min="1" max="1" width="9.5" customWidth="1"/>
    <col min="2" max="2" width="22.375" customWidth="1"/>
    <col min="3" max="3" width="68.125" bestFit="1" customWidth="1"/>
    <col min="4" max="4" width="35.25" customWidth="1"/>
    <col min="5" max="5" width="29.5" customWidth="1"/>
    <col min="6" max="6" width="29.625" customWidth="1"/>
  </cols>
  <sheetData>
    <row r="2" spans="2:8" ht="18.75">
      <c r="B2" s="551" t="s">
        <v>1778</v>
      </c>
    </row>
    <row r="3" spans="2:8" ht="5.25" customHeight="1"/>
    <row r="4" spans="2:8" ht="15">
      <c r="B4" s="356" t="s">
        <v>310</v>
      </c>
      <c r="C4" s="356" t="s">
        <v>1773</v>
      </c>
      <c r="D4" s="356" t="s">
        <v>307</v>
      </c>
      <c r="E4" s="356" t="s">
        <v>1774</v>
      </c>
      <c r="F4" s="356" t="s">
        <v>307</v>
      </c>
    </row>
    <row r="5" spans="2:8" ht="3.75" customHeight="1"/>
    <row r="6" spans="2:8" ht="15">
      <c r="B6" s="418" t="s">
        <v>1779</v>
      </c>
    </row>
    <row r="7" spans="2:8" ht="15">
      <c r="B7" s="420" t="s">
        <v>1776</v>
      </c>
      <c r="C7" s="617" t="s">
        <v>1771</v>
      </c>
      <c r="D7" s="420" t="s">
        <v>1770</v>
      </c>
      <c r="E7" s="420" t="s">
        <v>1775</v>
      </c>
      <c r="F7" s="420" t="s">
        <v>1789</v>
      </c>
    </row>
    <row r="8" spans="2:8" ht="15">
      <c r="B8" s="420" t="s">
        <v>1772</v>
      </c>
      <c r="C8" s="550" t="s">
        <v>1777</v>
      </c>
      <c r="D8" s="420"/>
      <c r="E8" s="420" t="s">
        <v>1775</v>
      </c>
      <c r="F8" s="420"/>
    </row>
    <row r="10" spans="2:8" ht="15">
      <c r="B10" s="419" t="s">
        <v>2068</v>
      </c>
      <c r="C10" s="420" t="s">
        <v>2067</v>
      </c>
      <c r="D10" s="550" t="s">
        <v>2069</v>
      </c>
      <c r="E10" s="420"/>
      <c r="F10" s="420"/>
    </row>
    <row r="12" spans="2:8" ht="15">
      <c r="B12" s="420" t="s">
        <v>1790</v>
      </c>
      <c r="C12" s="420" t="s">
        <v>1791</v>
      </c>
      <c r="D12" s="420" t="s">
        <v>1781</v>
      </c>
      <c r="E12" s="420"/>
      <c r="F12" s="420" t="s">
        <v>1792</v>
      </c>
      <c r="G12" s="611" t="s">
        <v>2037</v>
      </c>
      <c r="H12" t="s">
        <v>2036</v>
      </c>
    </row>
    <row r="13" spans="2:8" ht="15">
      <c r="B13" s="428" t="s">
        <v>1785</v>
      </c>
      <c r="C13" s="612" t="s">
        <v>1780</v>
      </c>
      <c r="D13" s="612" t="s">
        <v>1781</v>
      </c>
      <c r="E13" s="612" t="s">
        <v>1775</v>
      </c>
      <c r="F13" s="612" t="s">
        <v>1788</v>
      </c>
    </row>
    <row r="14" spans="2:8" ht="30">
      <c r="B14" s="420" t="s">
        <v>1818</v>
      </c>
      <c r="C14" s="561" t="s">
        <v>2035</v>
      </c>
      <c r="D14" s="420" t="s">
        <v>1781</v>
      </c>
      <c r="E14" s="552" t="s">
        <v>2034</v>
      </c>
      <c r="F14" s="420" t="s">
        <v>2064</v>
      </c>
      <c r="G14">
        <f>((550*3) + 650)*1.21</f>
        <v>2783</v>
      </c>
    </row>
    <row r="16" spans="2:8" ht="15">
      <c r="B16" s="420" t="s">
        <v>1924</v>
      </c>
      <c r="C16" s="561" t="s">
        <v>1927</v>
      </c>
      <c r="D16" s="561" t="s">
        <v>1923</v>
      </c>
      <c r="E16" s="561" t="s">
        <v>2065</v>
      </c>
      <c r="F16" s="63" t="s">
        <v>2066</v>
      </c>
    </row>
    <row r="18" spans="2:6" ht="15">
      <c r="B18" s="418" t="s">
        <v>1783</v>
      </c>
      <c r="C18" s="87"/>
      <c r="D18" s="87"/>
      <c r="E18" s="87"/>
      <c r="F18" s="87"/>
    </row>
    <row r="19" spans="2:6" ht="15">
      <c r="B19" s="420" t="s">
        <v>1782</v>
      </c>
      <c r="C19" s="420" t="s">
        <v>1943</v>
      </c>
      <c r="D19" s="420"/>
      <c r="E19" s="420" t="s">
        <v>1784</v>
      </c>
      <c r="F19" s="420"/>
    </row>
    <row r="20" spans="2:6" ht="15">
      <c r="B20" s="420"/>
      <c r="C20" s="420" t="s">
        <v>1941</v>
      </c>
      <c r="D20" s="420" t="s">
        <v>1942</v>
      </c>
      <c r="E20" s="420"/>
      <c r="F20" s="420"/>
    </row>
    <row r="21" spans="2:6" ht="15">
      <c r="B21" s="420"/>
      <c r="C21" s="420"/>
      <c r="D21" s="420"/>
      <c r="E21" s="420"/>
      <c r="F21" s="420"/>
    </row>
    <row r="22" spans="2:6" ht="15">
      <c r="B22" s="420" t="s">
        <v>1995</v>
      </c>
      <c r="C22" s="550" t="s">
        <v>1994</v>
      </c>
      <c r="D22" s="420" t="s">
        <v>1993</v>
      </c>
      <c r="E22" s="420"/>
      <c r="F22" s="420"/>
    </row>
    <row r="23" spans="2:6" ht="15">
      <c r="B23" s="600"/>
      <c r="C23" s="601"/>
      <c r="D23" s="600"/>
      <c r="E23" s="600"/>
      <c r="F23" s="600"/>
    </row>
    <row r="25" spans="2:6" ht="15">
      <c r="B25" s="418" t="s">
        <v>580</v>
      </c>
    </row>
    <row r="26" spans="2:6" s="87" customFormat="1" ht="15">
      <c r="B26" s="420" t="s">
        <v>1786</v>
      </c>
      <c r="C26" s="550" t="s">
        <v>2203</v>
      </c>
      <c r="D26" s="550" t="s">
        <v>2204</v>
      </c>
      <c r="E26" s="420" t="s">
        <v>2202</v>
      </c>
      <c r="F26" s="420"/>
    </row>
    <row r="27" spans="2:6">
      <c r="C27" s="92"/>
    </row>
    <row r="29" spans="2:6" ht="18.75">
      <c r="B29" s="551" t="s">
        <v>1928</v>
      </c>
    </row>
    <row r="30" spans="2:6" ht="3.75" customHeight="1"/>
    <row r="31" spans="2:6" ht="15">
      <c r="B31" s="420" t="s">
        <v>1925</v>
      </c>
      <c r="C31" s="63"/>
      <c r="D31" s="63" t="s">
        <v>1930</v>
      </c>
      <c r="E31" s="63"/>
      <c r="F31" s="63"/>
    </row>
    <row r="32" spans="2:6" ht="15">
      <c r="B32" s="420" t="s">
        <v>1922</v>
      </c>
      <c r="C32" s="63" t="s">
        <v>1929</v>
      </c>
      <c r="D32" s="63"/>
      <c r="E32" s="63"/>
      <c r="F32" s="63"/>
    </row>
    <row r="33" spans="2:6" ht="15">
      <c r="B33" s="420" t="s">
        <v>1926</v>
      </c>
      <c r="C33" s="63"/>
      <c r="D33" s="63"/>
      <c r="E33" s="63"/>
      <c r="F33" s="63"/>
    </row>
    <row r="34" spans="2:6" ht="15">
      <c r="B34" s="420" t="s">
        <v>2200</v>
      </c>
      <c r="C34" s="420"/>
      <c r="D34" s="420"/>
      <c r="E34" s="420"/>
      <c r="F34" s="420"/>
    </row>
    <row r="35" spans="2:6" ht="15">
      <c r="B35" s="420" t="s">
        <v>2201</v>
      </c>
      <c r="C35" s="420"/>
      <c r="D35" s="420"/>
      <c r="E35" s="420"/>
      <c r="F35" s="420"/>
    </row>
    <row r="39" spans="2:6" ht="18.75">
      <c r="B39" s="551" t="s">
        <v>1931</v>
      </c>
    </row>
    <row r="40" spans="2:6" ht="15">
      <c r="B40" s="420" t="s">
        <v>1932</v>
      </c>
    </row>
    <row r="44" spans="2:6" ht="18.75">
      <c r="B44" s="551" t="s">
        <v>1937</v>
      </c>
    </row>
    <row r="45" spans="2:6" ht="15">
      <c r="B45" s="420" t="s">
        <v>1938</v>
      </c>
      <c r="C45" s="420" t="s">
        <v>1936</v>
      </c>
    </row>
    <row r="55" spans="2:2" s="87" customFormat="1" ht="15"/>
    <row r="56" spans="2:2" s="87" customFormat="1" ht="15"/>
    <row r="57" spans="2:2" s="87" customFormat="1" ht="15"/>
    <row r="58" spans="2:2" s="87" customFormat="1" ht="15"/>
    <row r="59" spans="2:2" s="87" customFormat="1" ht="15">
      <c r="B59" s="88"/>
    </row>
    <row r="60" spans="2:2" s="87" customFormat="1" ht="15"/>
    <row r="61" spans="2:2" s="87" customFormat="1" ht="15"/>
    <row r="62" spans="2:2" s="87" customFormat="1" ht="15"/>
    <row r="63" spans="2:2" s="87" customFormat="1" ht="15"/>
  </sheetData>
  <hyperlinks>
    <hyperlink ref="C7" r:id="rId1" xr:uid="{0362BCAC-6362-49BF-BC67-4364D7AF5689}"/>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0C9CE-5667-4D4B-93D3-1236D59E6B44}">
  <dimension ref="A1:R118"/>
  <sheetViews>
    <sheetView topLeftCell="G3" zoomScaleNormal="100" workbookViewId="0">
      <selection activeCell="A28" sqref="A28"/>
    </sheetView>
  </sheetViews>
  <sheetFormatPr defaultColWidth="10.625" defaultRowHeight="14.25"/>
  <cols>
    <col min="1" max="1" width="6" customWidth="1"/>
    <col min="2" max="2" width="14.375" customWidth="1"/>
    <col min="3" max="3" width="11.875" customWidth="1"/>
    <col min="4" max="4" width="13.625" customWidth="1"/>
    <col min="5" max="5" width="9.625" customWidth="1"/>
    <col min="6" max="6" width="12.375" customWidth="1"/>
    <col min="7" max="7" width="14.875" customWidth="1"/>
    <col min="8" max="8" width="13" customWidth="1"/>
    <col min="9" max="9" width="13.875" customWidth="1"/>
    <col min="10" max="10" width="10.625" customWidth="1"/>
    <col min="11" max="11" width="11.5" customWidth="1"/>
    <col min="12" max="12" width="25.125" bestFit="1" customWidth="1"/>
    <col min="13" max="13" width="9.75" customWidth="1"/>
    <col min="14" max="14" width="22.875" customWidth="1"/>
    <col min="15" max="15" width="13.5" customWidth="1"/>
  </cols>
  <sheetData>
    <row r="1" spans="1:12" ht="15">
      <c r="A1" s="423" t="s">
        <v>1341</v>
      </c>
    </row>
    <row r="2" spans="1:12" ht="15">
      <c r="E2" s="420" t="s">
        <v>1459</v>
      </c>
      <c r="J2" s="426" t="s">
        <v>1456</v>
      </c>
    </row>
    <row r="3" spans="1:12" ht="15">
      <c r="A3" s="356" t="s">
        <v>25</v>
      </c>
      <c r="B3" s="356" t="s">
        <v>919</v>
      </c>
      <c r="C3" s="303" t="s">
        <v>918</v>
      </c>
      <c r="D3" s="356" t="s">
        <v>934</v>
      </c>
      <c r="E3" s="356" t="s">
        <v>1458</v>
      </c>
      <c r="F3" s="667" t="s">
        <v>2250</v>
      </c>
      <c r="G3" s="356" t="s">
        <v>2249</v>
      </c>
      <c r="H3" s="356" t="s">
        <v>2252</v>
      </c>
      <c r="I3" s="356" t="s">
        <v>1025</v>
      </c>
      <c r="J3" s="356" t="s">
        <v>2251</v>
      </c>
      <c r="K3" s="356" t="s">
        <v>1455</v>
      </c>
      <c r="L3" s="356" t="s">
        <v>1457</v>
      </c>
    </row>
    <row r="4" spans="1:12" ht="15">
      <c r="A4" s="420">
        <v>1</v>
      </c>
      <c r="B4" s="420" t="s">
        <v>908</v>
      </c>
      <c r="C4" s="663" t="s">
        <v>909</v>
      </c>
      <c r="D4" s="424">
        <v>1.2500000000000001E-2</v>
      </c>
      <c r="E4" s="666">
        <v>0</v>
      </c>
      <c r="F4" s="480">
        <v>44837</v>
      </c>
      <c r="G4" s="424">
        <v>19733</v>
      </c>
      <c r="H4" s="424"/>
      <c r="I4" s="662">
        <v>250</v>
      </c>
      <c r="J4" s="424"/>
      <c r="K4" s="425">
        <f>(H6-G4)/G4</f>
        <v>4.148735620534131</v>
      </c>
      <c r="L4" s="424"/>
    </row>
    <row r="5" spans="1:12" ht="15">
      <c r="A5" s="420"/>
      <c r="B5" s="420"/>
      <c r="C5" s="663"/>
      <c r="D5" s="424">
        <v>9.0999999999999998E-2</v>
      </c>
      <c r="E5" s="663"/>
      <c r="F5" s="480">
        <v>45163</v>
      </c>
      <c r="G5" s="424">
        <v>24430</v>
      </c>
      <c r="H5" s="424"/>
      <c r="I5" s="662">
        <v>2250</v>
      </c>
      <c r="J5" s="424"/>
      <c r="K5" s="425">
        <f>(H6-G5)/G5</f>
        <v>3.158821121571838</v>
      </c>
      <c r="L5" s="424"/>
    </row>
    <row r="6" spans="1:12" ht="15">
      <c r="A6" s="420"/>
      <c r="B6" s="420"/>
      <c r="C6" s="663"/>
      <c r="D6" s="424"/>
      <c r="E6" s="663"/>
      <c r="F6" s="480">
        <v>45667</v>
      </c>
      <c r="G6" s="424"/>
      <c r="H6" s="424">
        <v>101600</v>
      </c>
      <c r="I6" s="424"/>
      <c r="J6" s="662">
        <v>2460</v>
      </c>
      <c r="K6" s="424"/>
      <c r="L6" s="420" t="s">
        <v>2047</v>
      </c>
    </row>
    <row r="7" spans="1:12" ht="15">
      <c r="A7" s="420"/>
      <c r="B7" s="420"/>
      <c r="C7" s="663"/>
      <c r="D7" s="424">
        <v>6.11E-3</v>
      </c>
      <c r="E7" s="663"/>
      <c r="F7" s="480">
        <v>45720</v>
      </c>
      <c r="G7" s="424">
        <v>80662</v>
      </c>
      <c r="H7" s="424"/>
      <c r="I7" s="424">
        <v>500</v>
      </c>
      <c r="J7" s="424"/>
      <c r="K7" s="424"/>
      <c r="L7" s="424"/>
    </row>
    <row r="8" spans="1:12" ht="15">
      <c r="A8" s="420"/>
      <c r="B8" s="420"/>
      <c r="C8" s="663"/>
      <c r="D8" s="429">
        <v>1.6580000000000001E-2</v>
      </c>
      <c r="E8" s="663"/>
      <c r="F8" s="480">
        <v>46062</v>
      </c>
      <c r="G8" s="424">
        <v>59419</v>
      </c>
      <c r="H8" s="424"/>
      <c r="I8" s="424">
        <v>1000</v>
      </c>
      <c r="J8" s="424"/>
      <c r="K8" s="424"/>
      <c r="L8" s="424"/>
    </row>
    <row r="9" spans="1:12" ht="15" customHeight="1">
      <c r="A9" s="424"/>
      <c r="B9" s="424"/>
      <c r="C9" s="424"/>
      <c r="D9" s="424"/>
      <c r="E9" s="424"/>
      <c r="F9" s="424"/>
      <c r="G9" s="424"/>
      <c r="H9" s="424"/>
      <c r="I9" s="424"/>
      <c r="J9" s="424"/>
      <c r="K9" s="424"/>
      <c r="L9" s="424"/>
    </row>
    <row r="10" spans="1:12" ht="15">
      <c r="A10" s="420">
        <f>A4+1</f>
        <v>2</v>
      </c>
      <c r="B10" s="420" t="s">
        <v>916</v>
      </c>
      <c r="C10" s="663" t="s">
        <v>917</v>
      </c>
      <c r="D10" s="424">
        <v>0.185</v>
      </c>
      <c r="E10" s="666">
        <v>1</v>
      </c>
      <c r="F10" s="480">
        <v>44837</v>
      </c>
      <c r="G10" s="424">
        <v>1330</v>
      </c>
      <c r="H10" s="424"/>
      <c r="I10" s="662">
        <v>250</v>
      </c>
      <c r="J10" s="424"/>
      <c r="K10" s="430">
        <f>(H12-G10)/G10</f>
        <v>0.83157894736842108</v>
      </c>
      <c r="L10" s="424"/>
    </row>
    <row r="11" spans="1:12" ht="15">
      <c r="A11" s="420"/>
      <c r="B11" s="420"/>
      <c r="C11" s="663"/>
      <c r="D11" s="424">
        <v>1.4330000000000001</v>
      </c>
      <c r="E11" s="663"/>
      <c r="F11" s="480">
        <v>45163</v>
      </c>
      <c r="G11" s="424">
        <v>1547</v>
      </c>
      <c r="H11" s="424"/>
      <c r="I11" s="662">
        <v>2250</v>
      </c>
      <c r="J11" s="424"/>
      <c r="K11" s="430">
        <f>(H12-G11)/G11</f>
        <v>0.57466063348416285</v>
      </c>
      <c r="L11" s="424"/>
    </row>
    <row r="12" spans="1:12" ht="15">
      <c r="A12" s="420"/>
      <c r="B12" s="420"/>
      <c r="C12" s="663"/>
      <c r="D12" s="63"/>
      <c r="E12" s="63"/>
      <c r="F12" s="480">
        <v>45587</v>
      </c>
      <c r="G12" s="424"/>
      <c r="H12" s="424">
        <v>2436</v>
      </c>
      <c r="I12" s="63"/>
      <c r="J12" s="662">
        <v>2462</v>
      </c>
      <c r="K12" s="63"/>
      <c r="L12" s="420" t="s">
        <v>2047</v>
      </c>
    </row>
    <row r="13" spans="1:12" ht="15">
      <c r="A13" s="420"/>
      <c r="B13" s="420"/>
      <c r="C13" s="663"/>
      <c r="D13" s="429">
        <v>0.33929999999999999</v>
      </c>
      <c r="E13" s="663"/>
      <c r="F13" s="480">
        <v>46062</v>
      </c>
      <c r="G13" s="424">
        <v>1743</v>
      </c>
      <c r="H13" s="424"/>
      <c r="I13" s="424">
        <v>600</v>
      </c>
      <c r="J13" s="424"/>
      <c r="K13" s="424"/>
      <c r="L13" s="424"/>
    </row>
    <row r="14" spans="1:12" ht="14.1" customHeight="1">
      <c r="A14" s="663"/>
      <c r="B14" s="663"/>
      <c r="C14" s="663"/>
      <c r="D14" s="663"/>
      <c r="E14" s="663"/>
      <c r="F14" s="663"/>
      <c r="G14" s="663"/>
      <c r="H14" s="663"/>
      <c r="I14" s="663"/>
      <c r="J14" s="663"/>
      <c r="K14" s="663"/>
      <c r="L14" s="663"/>
    </row>
    <row r="15" spans="1:12" ht="15">
      <c r="A15" s="420">
        <f>A10+1</f>
        <v>3</v>
      </c>
      <c r="B15" s="420" t="s">
        <v>910</v>
      </c>
      <c r="C15" s="663" t="s">
        <v>911</v>
      </c>
      <c r="D15" s="424">
        <v>5.7</v>
      </c>
      <c r="E15" s="666">
        <v>1</v>
      </c>
      <c r="F15" s="480">
        <v>44833</v>
      </c>
      <c r="G15" s="424">
        <v>34.64</v>
      </c>
      <c r="H15" s="424"/>
      <c r="I15" s="662">
        <v>200</v>
      </c>
      <c r="J15" s="424"/>
      <c r="K15" s="425">
        <f>(H17-G15)/G15</f>
        <v>6.5635103926097003</v>
      </c>
      <c r="L15" s="424"/>
    </row>
    <row r="16" spans="1:12" ht="15">
      <c r="A16" s="420"/>
      <c r="B16" s="420"/>
      <c r="C16" s="663"/>
      <c r="D16" s="424">
        <v>10.210000000000001</v>
      </c>
      <c r="E16" s="663"/>
      <c r="F16" s="480">
        <v>45163</v>
      </c>
      <c r="G16" s="424">
        <v>19.3</v>
      </c>
      <c r="H16" s="424"/>
      <c r="I16" s="662">
        <v>200</v>
      </c>
      <c r="J16" s="424"/>
      <c r="K16" s="425">
        <f>(H17-G16)/G16</f>
        <v>12.575129533678755</v>
      </c>
      <c r="L16" s="424"/>
    </row>
    <row r="17" spans="1:16" ht="15">
      <c r="A17" s="420"/>
      <c r="B17" s="420"/>
      <c r="C17" s="663"/>
      <c r="D17" s="424"/>
      <c r="E17" s="663"/>
      <c r="F17" s="480">
        <v>45667</v>
      </c>
      <c r="G17" s="424" t="s">
        <v>886</v>
      </c>
      <c r="H17" s="424">
        <v>262</v>
      </c>
      <c r="I17" s="424"/>
      <c r="J17" s="662">
        <v>397</v>
      </c>
      <c r="K17" s="424"/>
      <c r="L17" s="420" t="s">
        <v>2047</v>
      </c>
    </row>
    <row r="18" spans="1:16" ht="15">
      <c r="A18" s="420"/>
      <c r="B18" s="420"/>
      <c r="C18" s="663"/>
      <c r="D18" s="429">
        <v>13.67</v>
      </c>
      <c r="E18" s="663"/>
      <c r="F18" s="480">
        <v>46062</v>
      </c>
      <c r="G18" s="424">
        <v>72.09</v>
      </c>
      <c r="H18" s="424"/>
      <c r="I18" s="424">
        <v>1000</v>
      </c>
      <c r="J18" s="424">
        <v>0</v>
      </c>
      <c r="K18" s="424"/>
      <c r="L18" s="424"/>
    </row>
    <row r="19" spans="1:16" ht="15">
      <c r="A19" s="424"/>
      <c r="B19" s="424"/>
      <c r="C19" s="424"/>
      <c r="D19" s="424"/>
      <c r="E19" s="424"/>
      <c r="F19" s="424"/>
      <c r="G19" s="424"/>
      <c r="H19" s="424"/>
      <c r="I19" s="424"/>
      <c r="J19" s="424"/>
      <c r="K19" s="424"/>
      <c r="L19" s="424"/>
    </row>
    <row r="20" spans="1:16" ht="15">
      <c r="A20" s="665">
        <v>4</v>
      </c>
      <c r="B20" s="665" t="s">
        <v>913</v>
      </c>
      <c r="C20" s="664" t="s">
        <v>912</v>
      </c>
      <c r="D20" s="662" t="s">
        <v>927</v>
      </c>
      <c r="E20" s="664">
        <v>0</v>
      </c>
      <c r="F20" s="668">
        <v>44837</v>
      </c>
      <c r="G20" s="662">
        <v>17.21</v>
      </c>
      <c r="H20" s="662"/>
      <c r="I20" s="662">
        <v>200</v>
      </c>
      <c r="J20" s="669"/>
      <c r="K20" s="662"/>
      <c r="L20" s="662"/>
    </row>
    <row r="21" spans="1:16" ht="15">
      <c r="A21" s="665"/>
      <c r="B21" s="665"/>
      <c r="C21" s="665"/>
      <c r="D21" s="665"/>
      <c r="E21" s="665"/>
      <c r="F21" s="668">
        <v>45543</v>
      </c>
      <c r="G21" s="662"/>
      <c r="H21" s="662">
        <v>20.6</v>
      </c>
      <c r="I21" s="665"/>
      <c r="J21" s="662">
        <v>232</v>
      </c>
      <c r="K21" s="670">
        <f>(H21-G20)/G20</f>
        <v>0.1969785008715863</v>
      </c>
      <c r="L21" s="665" t="s">
        <v>2253</v>
      </c>
    </row>
    <row r="22" spans="1:16" ht="15">
      <c r="A22" s="420"/>
      <c r="B22" s="420"/>
      <c r="C22" s="420"/>
      <c r="D22" s="420"/>
      <c r="E22" s="420"/>
      <c r="F22" s="420"/>
      <c r="G22" s="420"/>
      <c r="H22" s="420"/>
      <c r="I22" s="420"/>
      <c r="J22" s="420"/>
      <c r="K22" s="420"/>
      <c r="L22" s="420"/>
    </row>
    <row r="23" spans="1:16" ht="15">
      <c r="A23" s="420">
        <v>5</v>
      </c>
      <c r="B23" s="420" t="s">
        <v>914</v>
      </c>
      <c r="C23" s="663" t="s">
        <v>915</v>
      </c>
      <c r="D23" s="424" t="s">
        <v>926</v>
      </c>
      <c r="E23" s="666">
        <v>0.99</v>
      </c>
      <c r="F23" s="480">
        <v>44833</v>
      </c>
      <c r="G23" s="424">
        <v>0.45</v>
      </c>
      <c r="H23" s="424">
        <v>0.31</v>
      </c>
      <c r="I23" s="424">
        <v>200</v>
      </c>
      <c r="J23" s="427">
        <v>0</v>
      </c>
      <c r="K23" s="424"/>
      <c r="L23" s="424"/>
    </row>
    <row r="24" spans="1:16" ht="15">
      <c r="A24" s="420">
        <v>6</v>
      </c>
      <c r="B24" s="420" t="s">
        <v>1863</v>
      </c>
      <c r="C24" s="663" t="s">
        <v>1863</v>
      </c>
      <c r="D24" s="424">
        <v>284</v>
      </c>
      <c r="E24" s="663"/>
      <c r="F24" s="480">
        <v>45744</v>
      </c>
      <c r="G24" s="424">
        <v>2.08</v>
      </c>
      <c r="H24" s="424">
        <v>2.08</v>
      </c>
      <c r="I24" s="424">
        <v>600</v>
      </c>
      <c r="J24" s="420"/>
      <c r="K24" s="420"/>
      <c r="L24" s="420"/>
    </row>
    <row r="25" spans="1:16" ht="15">
      <c r="A25" s="420">
        <v>7</v>
      </c>
      <c r="B25" s="420" t="s">
        <v>1878</v>
      </c>
      <c r="C25" s="663" t="s">
        <v>1877</v>
      </c>
      <c r="D25" s="424">
        <v>12849</v>
      </c>
      <c r="E25" s="663"/>
      <c r="F25" s="480">
        <v>45744</v>
      </c>
      <c r="G25" s="424">
        <v>0.02</v>
      </c>
      <c r="H25" s="424">
        <v>0.02</v>
      </c>
      <c r="I25" s="424">
        <v>300</v>
      </c>
      <c r="J25" s="420"/>
      <c r="K25" s="420"/>
      <c r="L25" s="420"/>
    </row>
    <row r="26" spans="1:16" ht="15">
      <c r="A26" s="420">
        <v>8</v>
      </c>
      <c r="B26" s="420" t="s">
        <v>1826</v>
      </c>
      <c r="C26" s="663" t="s">
        <v>1825</v>
      </c>
      <c r="D26" s="424">
        <v>73.53</v>
      </c>
      <c r="E26" s="666">
        <v>1</v>
      </c>
      <c r="F26" s="480">
        <v>45744</v>
      </c>
      <c r="G26" s="424">
        <v>4.0199999999999996</v>
      </c>
      <c r="H26" s="424">
        <v>4.0199999999999996</v>
      </c>
      <c r="I26" s="424">
        <v>300</v>
      </c>
      <c r="J26" s="420"/>
      <c r="K26" s="420"/>
      <c r="L26" s="420"/>
    </row>
    <row r="27" spans="1:16" ht="17.25">
      <c r="A27" s="420">
        <v>9</v>
      </c>
      <c r="B27" s="420" t="s">
        <v>1895</v>
      </c>
      <c r="C27" s="663" t="s">
        <v>1894</v>
      </c>
      <c r="D27" s="424">
        <v>15754434</v>
      </c>
      <c r="E27" s="663"/>
      <c r="F27" s="480">
        <v>45744</v>
      </c>
      <c r="G27" s="424">
        <v>1.2E-5</v>
      </c>
      <c r="H27" s="424">
        <v>1.2E-5</v>
      </c>
      <c r="I27" s="424">
        <v>200</v>
      </c>
      <c r="J27" s="420"/>
      <c r="K27" s="420"/>
      <c r="L27" s="420"/>
      <c r="P27" s="585"/>
    </row>
    <row r="28" spans="1:16" ht="15">
      <c r="A28" s="420">
        <v>10</v>
      </c>
      <c r="B28" s="420" t="s">
        <v>1896</v>
      </c>
      <c r="C28" s="663" t="s">
        <v>1828</v>
      </c>
      <c r="D28" s="481">
        <v>13175206</v>
      </c>
      <c r="E28" s="663"/>
      <c r="F28" s="480">
        <v>45744</v>
      </c>
      <c r="G28" s="424">
        <v>7.1899999999999998E-6</v>
      </c>
      <c r="H28" s="424">
        <v>7.1899999999999998E-6</v>
      </c>
      <c r="I28" s="424">
        <v>100</v>
      </c>
      <c r="J28" s="420"/>
      <c r="K28" s="420"/>
      <c r="L28" s="420"/>
    </row>
    <row r="29" spans="1:16" ht="15">
      <c r="A29" s="420"/>
      <c r="B29" s="420" t="s">
        <v>1866</v>
      </c>
      <c r="C29" s="663" t="s">
        <v>1867</v>
      </c>
      <c r="D29" s="598">
        <v>2566.5500000000002</v>
      </c>
      <c r="E29" s="663"/>
      <c r="F29" s="480">
        <v>46062</v>
      </c>
      <c r="G29" s="424">
        <v>7.6799999999999993E-2</v>
      </c>
      <c r="H29" s="424"/>
      <c r="I29" s="424">
        <v>200</v>
      </c>
      <c r="J29" s="420"/>
      <c r="K29" s="420"/>
      <c r="L29" s="420"/>
    </row>
    <row r="30" spans="1:16" ht="15">
      <c r="A30" s="420"/>
      <c r="B30" s="420" t="s">
        <v>1873</v>
      </c>
      <c r="C30" s="663" t="s">
        <v>1874</v>
      </c>
      <c r="D30" s="598">
        <v>2438</v>
      </c>
      <c r="E30" s="663"/>
      <c r="F30" s="480">
        <v>46062</v>
      </c>
      <c r="G30" s="424">
        <v>8.0799999999999997E-2</v>
      </c>
      <c r="H30" s="424"/>
      <c r="I30" s="424">
        <v>200</v>
      </c>
      <c r="J30" s="420"/>
      <c r="K30" s="420"/>
      <c r="L30" s="420"/>
    </row>
    <row r="31" spans="1:16" ht="15">
      <c r="A31" s="420"/>
      <c r="B31" s="420" t="s">
        <v>2230</v>
      </c>
      <c r="C31" s="140" t="s">
        <v>2046</v>
      </c>
      <c r="D31" s="481"/>
      <c r="E31" s="663"/>
      <c r="F31" s="480"/>
      <c r="G31" s="424"/>
      <c r="H31" s="424"/>
      <c r="I31" s="424">
        <v>0</v>
      </c>
      <c r="J31" s="420"/>
      <c r="K31" s="420"/>
      <c r="L31" s="420"/>
    </row>
    <row r="32" spans="1:16" ht="15">
      <c r="A32" s="420"/>
      <c r="B32" s="420"/>
      <c r="C32" s="663"/>
      <c r="D32" s="424"/>
      <c r="E32" s="420"/>
      <c r="F32" s="480"/>
      <c r="G32" s="424"/>
      <c r="H32" s="424"/>
      <c r="I32" s="424"/>
      <c r="J32" s="420"/>
      <c r="K32" s="420"/>
      <c r="L32" s="420"/>
    </row>
    <row r="33" spans="1:17" ht="15">
      <c r="A33" s="420"/>
      <c r="B33" s="420"/>
      <c r="C33" s="420"/>
      <c r="D33" s="424"/>
      <c r="E33" s="424"/>
      <c r="F33" s="480"/>
      <c r="G33" s="424"/>
      <c r="H33" s="424"/>
      <c r="I33" s="429">
        <f>SUM(I4:I32)</f>
        <v>10800</v>
      </c>
      <c r="J33" s="586">
        <f>SUM(J4:J32)</f>
        <v>5551</v>
      </c>
      <c r="K33" s="237"/>
      <c r="L33" s="424"/>
    </row>
    <row r="34" spans="1:17" ht="15">
      <c r="A34" s="181"/>
    </row>
    <row r="36" spans="1:17" ht="15">
      <c r="A36" s="418" t="s">
        <v>1530</v>
      </c>
      <c r="B36" s="418"/>
    </row>
    <row r="37" spans="1:17" ht="15">
      <c r="A37" s="356" t="s">
        <v>25</v>
      </c>
      <c r="B37" s="356" t="s">
        <v>44</v>
      </c>
      <c r="C37" s="356" t="s">
        <v>919</v>
      </c>
      <c r="D37" s="356" t="s">
        <v>983</v>
      </c>
      <c r="E37" s="356" t="s">
        <v>1532</v>
      </c>
      <c r="F37" s="356" t="s">
        <v>307</v>
      </c>
      <c r="G37" s="356"/>
      <c r="H37" s="356"/>
      <c r="N37" s="356" t="s">
        <v>1534</v>
      </c>
      <c r="O37" s="356"/>
      <c r="P37" s="356"/>
    </row>
    <row r="38" spans="1:17" ht="15">
      <c r="A38" s="420">
        <v>1</v>
      </c>
      <c r="B38" s="480">
        <v>45543</v>
      </c>
      <c r="C38" s="420" t="s">
        <v>913</v>
      </c>
      <c r="D38" s="424">
        <v>200</v>
      </c>
      <c r="E38" s="424">
        <v>232</v>
      </c>
      <c r="F38" s="420" t="s">
        <v>1758</v>
      </c>
      <c r="G38" s="420"/>
      <c r="H38" s="63"/>
      <c r="N38" s="420" t="s">
        <v>1533</v>
      </c>
      <c r="O38" s="63"/>
      <c r="P38" s="63"/>
    </row>
    <row r="39" spans="1:17" ht="15">
      <c r="A39" s="420">
        <v>2</v>
      </c>
      <c r="B39" s="668">
        <v>45587</v>
      </c>
      <c r="C39" s="665" t="s">
        <v>1531</v>
      </c>
      <c r="D39" s="662">
        <v>2500</v>
      </c>
      <c r="E39" s="662">
        <v>2462</v>
      </c>
      <c r="F39" s="665" t="s">
        <v>1754</v>
      </c>
      <c r="G39" s="665"/>
      <c r="H39" s="665" t="s">
        <v>1757</v>
      </c>
      <c r="N39" s="420" t="s">
        <v>1848</v>
      </c>
      <c r="O39" s="63"/>
      <c r="P39" s="63"/>
    </row>
    <row r="40" spans="1:17" ht="15">
      <c r="A40" s="420">
        <f>A39+1</f>
        <v>3</v>
      </c>
      <c r="B40" s="668">
        <v>45667</v>
      </c>
      <c r="C40" s="665" t="s">
        <v>908</v>
      </c>
      <c r="D40" s="662">
        <v>2500</v>
      </c>
      <c r="E40" s="662">
        <v>2460</v>
      </c>
      <c r="F40" s="665" t="s">
        <v>1756</v>
      </c>
      <c r="G40" s="665"/>
      <c r="H40" s="665" t="s">
        <v>1757</v>
      </c>
      <c r="I40" s="669"/>
    </row>
    <row r="41" spans="1:17" ht="15">
      <c r="A41" s="420">
        <v>4</v>
      </c>
      <c r="B41" s="668">
        <v>45667</v>
      </c>
      <c r="C41" s="665" t="s">
        <v>910</v>
      </c>
      <c r="D41" s="662">
        <v>400</v>
      </c>
      <c r="E41" s="662">
        <v>397</v>
      </c>
      <c r="F41" s="665" t="s">
        <v>1755</v>
      </c>
      <c r="G41" s="407"/>
      <c r="H41" s="665" t="s">
        <v>1757</v>
      </c>
      <c r="I41" s="669"/>
    </row>
    <row r="42" spans="1:17" ht="15">
      <c r="A42" s="420">
        <v>5</v>
      </c>
      <c r="B42" s="480">
        <v>45719</v>
      </c>
      <c r="C42" s="420" t="s">
        <v>886</v>
      </c>
      <c r="D42" s="424">
        <v>2050</v>
      </c>
      <c r="E42" s="63"/>
      <c r="F42" s="552" t="s">
        <v>1832</v>
      </c>
      <c r="G42" s="63"/>
      <c r="H42" s="63"/>
    </row>
    <row r="43" spans="1:17" ht="15">
      <c r="E43" s="590">
        <f>SUM(E38:E42)</f>
        <v>5551</v>
      </c>
      <c r="N43" s="419" t="s">
        <v>1460</v>
      </c>
      <c r="O43" s="364"/>
      <c r="P43" s="587">
        <f>I33-J33</f>
        <v>5249</v>
      </c>
      <c r="Q43" s="584"/>
    </row>
    <row r="44" spans="1:17" ht="15">
      <c r="N44" s="419" t="s">
        <v>1921</v>
      </c>
      <c r="O44" s="63"/>
      <c r="P44" s="588">
        <v>11000</v>
      </c>
    </row>
    <row r="45" spans="1:17" ht="15">
      <c r="N45" s="419" t="s">
        <v>1455</v>
      </c>
      <c r="O45" s="63"/>
      <c r="P45" s="589">
        <f>(P44-P43)/P43</f>
        <v>1.0956372642408079</v>
      </c>
    </row>
    <row r="47" spans="1:17" ht="15">
      <c r="N47" s="420"/>
      <c r="O47" s="420"/>
      <c r="P47" s="420"/>
    </row>
    <row r="48" spans="1:17" ht="15">
      <c r="N48" s="420" t="s">
        <v>2205</v>
      </c>
      <c r="O48" s="420"/>
      <c r="P48" s="420"/>
    </row>
    <row r="49" spans="1:18" ht="15">
      <c r="N49" s="420" t="s">
        <v>2206</v>
      </c>
      <c r="O49" s="420"/>
      <c r="P49" s="420"/>
    </row>
    <row r="50" spans="1:18" ht="15">
      <c r="N50" s="420" t="s">
        <v>2207</v>
      </c>
      <c r="O50" s="420"/>
      <c r="P50" s="420"/>
    </row>
    <row r="52" spans="1:18" ht="16.5">
      <c r="B52" s="563"/>
    </row>
    <row r="54" spans="1:18" ht="15.75">
      <c r="B54" s="581" t="s">
        <v>1913</v>
      </c>
      <c r="C54" s="581"/>
      <c r="I54" s="581" t="s">
        <v>1915</v>
      </c>
      <c r="J54" s="581"/>
      <c r="O54" s="581" t="s">
        <v>1914</v>
      </c>
      <c r="P54" s="581"/>
    </row>
    <row r="55" spans="1:18" ht="15">
      <c r="B55" s="356" t="s">
        <v>310</v>
      </c>
      <c r="C55" s="356" t="s">
        <v>918</v>
      </c>
      <c r="D55" s="63"/>
      <c r="I55" s="63" t="s">
        <v>1909</v>
      </c>
      <c r="J55" s="63" t="s">
        <v>917</v>
      </c>
      <c r="K55" s="577" t="s">
        <v>1907</v>
      </c>
      <c r="O55" s="356" t="s">
        <v>310</v>
      </c>
      <c r="P55" s="356" t="s">
        <v>918</v>
      </c>
    </row>
    <row r="56" spans="1:18" ht="16.5">
      <c r="A56" s="582" t="s">
        <v>1892</v>
      </c>
      <c r="B56" s="564" t="s">
        <v>914</v>
      </c>
      <c r="C56" s="63" t="s">
        <v>915</v>
      </c>
      <c r="D56" s="577" t="s">
        <v>1907</v>
      </c>
      <c r="E56" t="s">
        <v>1885</v>
      </c>
      <c r="G56" t="s">
        <v>1886</v>
      </c>
      <c r="I56" s="63" t="s">
        <v>1863</v>
      </c>
      <c r="J56" s="63" t="s">
        <v>1863</v>
      </c>
      <c r="K56" s="577" t="s">
        <v>1907</v>
      </c>
      <c r="O56" s="564" t="s">
        <v>1830</v>
      </c>
      <c r="P56" s="564" t="s">
        <v>1829</v>
      </c>
      <c r="Q56" s="580" t="s">
        <v>1911</v>
      </c>
      <c r="R56" s="63" t="s">
        <v>1893</v>
      </c>
    </row>
    <row r="57" spans="1:18" ht="16.5">
      <c r="A57" s="582" t="s">
        <v>1892</v>
      </c>
      <c r="B57" s="564" t="s">
        <v>1831</v>
      </c>
      <c r="C57" s="63" t="s">
        <v>1863</v>
      </c>
      <c r="D57" s="577" t="s">
        <v>1907</v>
      </c>
      <c r="E57" t="s">
        <v>1881</v>
      </c>
      <c r="F57" t="s">
        <v>1883</v>
      </c>
      <c r="G57" t="s">
        <v>1887</v>
      </c>
      <c r="I57" s="63" t="s">
        <v>914</v>
      </c>
      <c r="J57" s="63" t="s">
        <v>915</v>
      </c>
      <c r="K57" s="577" t="s">
        <v>1907</v>
      </c>
      <c r="O57" s="63" t="s">
        <v>1895</v>
      </c>
      <c r="P57" s="63" t="s">
        <v>1894</v>
      </c>
      <c r="Q57" s="577" t="s">
        <v>1907</v>
      </c>
      <c r="R57" s="63" t="s">
        <v>1912</v>
      </c>
    </row>
    <row r="58" spans="1:18" ht="16.5">
      <c r="A58" t="s">
        <v>1892</v>
      </c>
      <c r="B58" s="564" t="s">
        <v>1861</v>
      </c>
      <c r="C58" s="63" t="s">
        <v>1862</v>
      </c>
      <c r="D58" s="577" t="s">
        <v>1907</v>
      </c>
      <c r="E58" t="s">
        <v>1882</v>
      </c>
      <c r="F58" t="s">
        <v>1888</v>
      </c>
      <c r="I58" s="63" t="s">
        <v>1826</v>
      </c>
      <c r="J58" s="63" t="s">
        <v>1825</v>
      </c>
      <c r="K58" s="579" t="s">
        <v>1910</v>
      </c>
      <c r="O58" s="63" t="s">
        <v>1896</v>
      </c>
      <c r="P58" s="63" t="s">
        <v>1828</v>
      </c>
      <c r="Q58" s="577" t="s">
        <v>1907</v>
      </c>
      <c r="R58" s="63" t="s">
        <v>1912</v>
      </c>
    </row>
    <row r="59" spans="1:18" ht="16.5">
      <c r="B59" s="564" t="s">
        <v>1864</v>
      </c>
      <c r="C59" s="63" t="s">
        <v>1865</v>
      </c>
      <c r="D59" s="580" t="s">
        <v>1911</v>
      </c>
      <c r="I59" s="63" t="s">
        <v>1878</v>
      </c>
      <c r="J59" s="63" t="s">
        <v>1877</v>
      </c>
      <c r="K59" s="577" t="s">
        <v>1907</v>
      </c>
      <c r="O59" s="63" t="s">
        <v>1897</v>
      </c>
      <c r="P59" s="63" t="s">
        <v>1898</v>
      </c>
      <c r="Q59" s="577" t="s">
        <v>1907</v>
      </c>
      <c r="R59" s="63" t="s">
        <v>1899</v>
      </c>
    </row>
    <row r="60" spans="1:18" ht="16.5">
      <c r="A60" s="582" t="s">
        <v>1892</v>
      </c>
      <c r="B60" s="564" t="s">
        <v>1866</v>
      </c>
      <c r="C60" s="63" t="s">
        <v>1867</v>
      </c>
      <c r="D60" s="578" t="s">
        <v>1908</v>
      </c>
      <c r="E60" t="s">
        <v>1906</v>
      </c>
      <c r="F60" t="s">
        <v>1884</v>
      </c>
      <c r="G60" t="s">
        <v>1889</v>
      </c>
      <c r="I60" s="63" t="s">
        <v>1866</v>
      </c>
      <c r="J60" s="63" t="s">
        <v>1916</v>
      </c>
      <c r="K60" s="578" t="s">
        <v>1908</v>
      </c>
      <c r="O60" s="63" t="s">
        <v>1900</v>
      </c>
      <c r="P60" s="63" t="s">
        <v>1901</v>
      </c>
      <c r="Q60" s="577" t="s">
        <v>1907</v>
      </c>
      <c r="R60" s="63" t="s">
        <v>1912</v>
      </c>
    </row>
    <row r="61" spans="1:18">
      <c r="A61" s="582" t="s">
        <v>1892</v>
      </c>
      <c r="B61" s="63" t="s">
        <v>1868</v>
      </c>
      <c r="C61" s="63" t="s">
        <v>1869</v>
      </c>
      <c r="D61" s="577" t="s">
        <v>1907</v>
      </c>
      <c r="G61" t="s">
        <v>1891</v>
      </c>
      <c r="I61" s="63" t="s">
        <v>910</v>
      </c>
      <c r="J61" s="63" t="s">
        <v>911</v>
      </c>
      <c r="K61" s="577" t="s">
        <v>1907</v>
      </c>
      <c r="L61" s="63" t="s">
        <v>1917</v>
      </c>
      <c r="O61" s="63"/>
      <c r="P61" s="63"/>
      <c r="Q61" s="63"/>
    </row>
    <row r="62" spans="1:18">
      <c r="A62" t="s">
        <v>1892</v>
      </c>
      <c r="B62" s="63" t="s">
        <v>1870</v>
      </c>
      <c r="C62" s="63" t="s">
        <v>1871</v>
      </c>
      <c r="D62" s="577" t="s">
        <v>1907</v>
      </c>
      <c r="E62" t="s">
        <v>1880</v>
      </c>
      <c r="I62" s="63" t="s">
        <v>1918</v>
      </c>
      <c r="J62" s="63" t="s">
        <v>1919</v>
      </c>
      <c r="K62" s="577" t="s">
        <v>1907</v>
      </c>
      <c r="L62" s="63"/>
      <c r="O62" s="63" t="s">
        <v>1902</v>
      </c>
      <c r="P62" s="562" t="s">
        <v>1904</v>
      </c>
      <c r="Q62" s="577" t="s">
        <v>1907</v>
      </c>
      <c r="R62" s="63" t="s">
        <v>1899</v>
      </c>
    </row>
    <row r="63" spans="1:18">
      <c r="A63" t="s">
        <v>1892</v>
      </c>
      <c r="B63" s="63" t="s">
        <v>1872</v>
      </c>
      <c r="C63" s="63" t="s">
        <v>1827</v>
      </c>
      <c r="D63" s="577" t="s">
        <v>1907</v>
      </c>
      <c r="I63" s="63" t="s">
        <v>913</v>
      </c>
      <c r="J63" s="63" t="s">
        <v>912</v>
      </c>
      <c r="K63" s="577" t="s">
        <v>1907</v>
      </c>
      <c r="L63" s="63" t="s">
        <v>1920</v>
      </c>
      <c r="O63" s="63" t="s">
        <v>1903</v>
      </c>
      <c r="P63" s="562" t="s">
        <v>1905</v>
      </c>
      <c r="Q63" s="577" t="s">
        <v>1907</v>
      </c>
      <c r="R63" s="63" t="s">
        <v>1899</v>
      </c>
    </row>
    <row r="64" spans="1:18">
      <c r="A64" t="s">
        <v>1892</v>
      </c>
      <c r="B64" s="63" t="s">
        <v>1873</v>
      </c>
      <c r="C64" s="63" t="s">
        <v>1874</v>
      </c>
      <c r="D64" s="578" t="s">
        <v>1908</v>
      </c>
      <c r="E64" t="s">
        <v>1876</v>
      </c>
      <c r="I64" s="487" t="s">
        <v>1868</v>
      </c>
      <c r="J64" s="487" t="s">
        <v>1869</v>
      </c>
      <c r="K64" s="659" t="s">
        <v>1907</v>
      </c>
    </row>
    <row r="65" spans="1:12">
      <c r="A65" s="582" t="s">
        <v>1892</v>
      </c>
      <c r="B65" s="63" t="s">
        <v>1826</v>
      </c>
      <c r="C65" s="63" t="s">
        <v>1825</v>
      </c>
      <c r="D65" s="579" t="s">
        <v>1910</v>
      </c>
      <c r="E65" t="s">
        <v>1875</v>
      </c>
      <c r="G65" t="s">
        <v>1890</v>
      </c>
    </row>
    <row r="66" spans="1:12" ht="15.75">
      <c r="A66" s="582" t="s">
        <v>1892</v>
      </c>
      <c r="B66" s="364" t="s">
        <v>1878</v>
      </c>
      <c r="C66" s="63" t="s">
        <v>1877</v>
      </c>
      <c r="D66" s="577" t="s">
        <v>1907</v>
      </c>
      <c r="E66" t="s">
        <v>1879</v>
      </c>
      <c r="I66" s="581" t="s">
        <v>2242</v>
      </c>
      <c r="J66" s="581"/>
    </row>
    <row r="67" spans="1:12">
      <c r="I67" s="63" t="s">
        <v>2230</v>
      </c>
      <c r="J67" s="63" t="s">
        <v>2046</v>
      </c>
      <c r="K67" s="658" t="s">
        <v>2239</v>
      </c>
      <c r="L67" s="63" t="s">
        <v>2238</v>
      </c>
    </row>
    <row r="68" spans="1:12">
      <c r="I68" s="63" t="s">
        <v>2231</v>
      </c>
      <c r="J68" s="63" t="s">
        <v>2231</v>
      </c>
      <c r="K68" s="660" t="s">
        <v>2240</v>
      </c>
      <c r="L68" s="63" t="s">
        <v>2241</v>
      </c>
    </row>
    <row r="69" spans="1:12">
      <c r="B69" s="572" t="s">
        <v>2237</v>
      </c>
      <c r="C69" s="63">
        <v>0</v>
      </c>
      <c r="I69" s="63" t="s">
        <v>2232</v>
      </c>
      <c r="J69" s="63" t="s">
        <v>2232</v>
      </c>
      <c r="K69" s="660" t="s">
        <v>2240</v>
      </c>
      <c r="L69" s="63" t="s">
        <v>2241</v>
      </c>
    </row>
    <row r="70" spans="1:12">
      <c r="B70" s="63" t="s">
        <v>909</v>
      </c>
      <c r="C70" s="63">
        <v>1000</v>
      </c>
      <c r="I70" s="63" t="s">
        <v>2233</v>
      </c>
      <c r="J70" s="63" t="s">
        <v>2233</v>
      </c>
      <c r="K70" s="660" t="s">
        <v>2240</v>
      </c>
      <c r="L70" s="63" t="s">
        <v>2241</v>
      </c>
    </row>
    <row r="71" spans="1:12">
      <c r="B71" s="63" t="s">
        <v>917</v>
      </c>
      <c r="C71" s="63">
        <v>600</v>
      </c>
      <c r="I71" s="63" t="s">
        <v>2234</v>
      </c>
      <c r="J71" s="63" t="s">
        <v>2234</v>
      </c>
      <c r="K71" s="660" t="s">
        <v>2240</v>
      </c>
      <c r="L71" s="63" t="s">
        <v>2241</v>
      </c>
    </row>
    <row r="72" spans="1:12">
      <c r="B72" s="590" t="s">
        <v>2048</v>
      </c>
      <c r="C72" s="63">
        <v>1000</v>
      </c>
    </row>
    <row r="73" spans="1:12">
      <c r="B73" s="590" t="s">
        <v>2236</v>
      </c>
      <c r="C73" s="63">
        <v>200</v>
      </c>
    </row>
    <row r="74" spans="1:12" ht="15.75">
      <c r="B74" s="590" t="s">
        <v>1873</v>
      </c>
      <c r="C74" s="63">
        <v>200</v>
      </c>
      <c r="I74" s="661" t="s">
        <v>2243</v>
      </c>
      <c r="J74" s="661"/>
    </row>
    <row r="75" spans="1:12">
      <c r="B75" s="63"/>
      <c r="C75" s="63">
        <f>SUM(C69:C74)</f>
        <v>3000</v>
      </c>
      <c r="I75" s="63" t="s">
        <v>2043</v>
      </c>
      <c r="J75" s="63" t="s">
        <v>2042</v>
      </c>
    </row>
    <row r="76" spans="1:12">
      <c r="I76" s="63" t="s">
        <v>2045</v>
      </c>
      <c r="J76" s="63" t="s">
        <v>2044</v>
      </c>
    </row>
    <row r="77" spans="1:12">
      <c r="I77" s="63" t="s">
        <v>1721</v>
      </c>
      <c r="J77" s="63" t="s">
        <v>2244</v>
      </c>
    </row>
    <row r="118" spans="3:3">
      <c r="C118" t="s">
        <v>2235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35"/>
  <sheetViews>
    <sheetView zoomScaleNormal="100" workbookViewId="0">
      <selection activeCell="D34" sqref="D34"/>
    </sheetView>
  </sheetViews>
  <sheetFormatPr defaultColWidth="8.875" defaultRowHeight="14.25"/>
  <cols>
    <col min="1" max="1" width="8" style="1" customWidth="1"/>
    <col min="2" max="2" width="16.5" style="1" bestFit="1" customWidth="1"/>
    <col min="3" max="3" width="22.5" style="1" customWidth="1"/>
    <col min="4" max="4" width="14.25" style="1" customWidth="1"/>
    <col min="5" max="5" width="11.875" style="1" customWidth="1"/>
    <col min="6" max="6" width="9.375" style="222" customWidth="1"/>
    <col min="7" max="7" width="9.625" style="1" customWidth="1"/>
    <col min="8" max="8" width="9.875" style="1" customWidth="1"/>
    <col min="9" max="9" width="18.125" style="1" customWidth="1"/>
    <col min="10" max="10" width="13.125" style="1" customWidth="1"/>
    <col min="11" max="11" width="14.875" style="1" customWidth="1"/>
    <col min="12" max="12" width="14" style="1" customWidth="1"/>
    <col min="13" max="13" width="16.125" style="1" customWidth="1"/>
    <col min="14" max="14" width="7" style="1" customWidth="1"/>
    <col min="15" max="15" width="16.375" style="1" customWidth="1"/>
    <col min="16" max="16" width="16.875" style="1" customWidth="1"/>
    <col min="17" max="1024" width="7" style="1" customWidth="1"/>
  </cols>
  <sheetData>
    <row r="1" spans="1:7" ht="15.75">
      <c r="A1" s="685" t="s">
        <v>1209</v>
      </c>
      <c r="B1" s="686"/>
    </row>
    <row r="2" spans="1:7">
      <c r="A2" s="609" t="s">
        <v>2012</v>
      </c>
      <c r="B2" s="609" t="s">
        <v>1373</v>
      </c>
    </row>
    <row r="3" spans="1:7" ht="15.75">
      <c r="A3" s="318" t="s">
        <v>25</v>
      </c>
      <c r="B3" s="318" t="s">
        <v>19</v>
      </c>
      <c r="C3" s="318" t="s">
        <v>34</v>
      </c>
      <c r="D3" s="318" t="s">
        <v>307</v>
      </c>
    </row>
    <row r="4" spans="1:7" ht="15">
      <c r="A4" s="310">
        <v>1</v>
      </c>
      <c r="B4" s="310" t="s">
        <v>22</v>
      </c>
      <c r="C4" s="310">
        <v>40000</v>
      </c>
      <c r="D4" s="310" t="s">
        <v>1210</v>
      </c>
      <c r="E4" s="1" t="s">
        <v>2011</v>
      </c>
    </row>
    <row r="5" spans="1:7" ht="15">
      <c r="A5" s="322"/>
      <c r="B5" s="322"/>
      <c r="C5" s="322"/>
      <c r="D5" s="322"/>
    </row>
    <row r="6" spans="1:7" ht="15">
      <c r="A6" s="322"/>
      <c r="B6" s="322"/>
      <c r="C6" s="322"/>
      <c r="D6" s="322"/>
    </row>
    <row r="7" spans="1:7" ht="15">
      <c r="A7" s="322"/>
      <c r="B7" s="322"/>
      <c r="C7" s="322"/>
      <c r="D7" s="322"/>
    </row>
    <row r="8" spans="1:7" ht="15.75">
      <c r="A8" s="320" t="s">
        <v>1219</v>
      </c>
      <c r="B8" s="321"/>
      <c r="C8" s="328"/>
    </row>
    <row r="9" spans="1:7" s="11" customFormat="1" ht="15">
      <c r="A9" s="89" t="s">
        <v>49</v>
      </c>
      <c r="B9" s="131" t="s">
        <v>50</v>
      </c>
    </row>
    <row r="10" spans="1:7" s="11" customFormat="1" ht="15"/>
    <row r="11" spans="1:7" s="11" customFormat="1" ht="15.75">
      <c r="A11" s="318" t="s">
        <v>25</v>
      </c>
      <c r="B11" s="318" t="s">
        <v>19</v>
      </c>
      <c r="C11" s="318"/>
      <c r="D11" s="318" t="s">
        <v>57</v>
      </c>
      <c r="E11" s="318" t="s">
        <v>51</v>
      </c>
      <c r="F11" s="318" t="s">
        <v>53</v>
      </c>
      <c r="G11" s="318" t="s">
        <v>111</v>
      </c>
    </row>
    <row r="12" spans="1:7" s="11" customFormat="1" ht="15">
      <c r="A12" s="310">
        <v>1</v>
      </c>
      <c r="B12" s="310" t="s">
        <v>47</v>
      </c>
      <c r="C12" s="310">
        <v>50000</v>
      </c>
      <c r="D12" s="329">
        <v>42522</v>
      </c>
      <c r="E12" s="310" t="s">
        <v>52</v>
      </c>
      <c r="F12" s="310">
        <v>60000</v>
      </c>
      <c r="G12" s="310"/>
    </row>
    <row r="13" spans="1:7" s="11" customFormat="1" ht="15">
      <c r="A13" s="310">
        <f>A12+1</f>
        <v>2</v>
      </c>
      <c r="B13" s="310" t="s">
        <v>48</v>
      </c>
      <c r="C13" s="310">
        <v>1000</v>
      </c>
      <c r="D13" s="329">
        <v>43070</v>
      </c>
      <c r="E13" s="310" t="s">
        <v>52</v>
      </c>
      <c r="F13" s="310"/>
      <c r="G13" s="310"/>
    </row>
    <row r="14" spans="1:7" s="11" customFormat="1" ht="15">
      <c r="A14" s="310">
        <f t="shared" ref="A14:A18" si="0">A13+1</f>
        <v>3</v>
      </c>
      <c r="B14" s="310" t="s">
        <v>298</v>
      </c>
      <c r="C14" s="310">
        <v>1000</v>
      </c>
      <c r="D14" s="329">
        <v>43435</v>
      </c>
      <c r="E14" s="310" t="s">
        <v>52</v>
      </c>
      <c r="F14" s="310">
        <v>70000</v>
      </c>
      <c r="G14" s="310" t="s">
        <v>304</v>
      </c>
    </row>
    <row r="15" spans="1:7" s="11" customFormat="1" ht="15">
      <c r="A15" s="310">
        <f t="shared" si="0"/>
        <v>4</v>
      </c>
      <c r="B15" s="310" t="s">
        <v>352</v>
      </c>
      <c r="C15" s="310">
        <v>2000</v>
      </c>
      <c r="D15" s="330"/>
      <c r="E15" s="310"/>
      <c r="F15" s="310"/>
      <c r="G15" s="310"/>
    </row>
    <row r="16" spans="1:7" s="11" customFormat="1" ht="15">
      <c r="A16" s="310">
        <f t="shared" si="0"/>
        <v>5</v>
      </c>
      <c r="B16" s="310" t="s">
        <v>618</v>
      </c>
      <c r="C16" s="310">
        <v>50000</v>
      </c>
      <c r="D16" s="329" t="s">
        <v>619</v>
      </c>
      <c r="E16" s="310" t="s">
        <v>52</v>
      </c>
      <c r="F16" s="310"/>
      <c r="G16" s="310"/>
    </row>
    <row r="17" spans="1:7" s="11" customFormat="1" ht="15">
      <c r="A17" s="310">
        <f t="shared" si="0"/>
        <v>6</v>
      </c>
      <c r="B17" s="310" t="s">
        <v>885</v>
      </c>
      <c r="C17" s="310">
        <v>50000</v>
      </c>
      <c r="D17" s="330" t="s">
        <v>887</v>
      </c>
      <c r="E17" s="310" t="s">
        <v>888</v>
      </c>
      <c r="F17" s="310"/>
      <c r="G17" s="310" t="s">
        <v>889</v>
      </c>
    </row>
    <row r="18" spans="1:7" s="11" customFormat="1" ht="15">
      <c r="A18" s="310">
        <f t="shared" si="0"/>
        <v>7</v>
      </c>
      <c r="B18" s="573" t="s">
        <v>1849</v>
      </c>
      <c r="C18" s="310">
        <v>10000</v>
      </c>
      <c r="D18" s="329">
        <v>45717</v>
      </c>
      <c r="E18" s="573" t="s">
        <v>52</v>
      </c>
      <c r="F18" s="310"/>
      <c r="G18" s="573" t="s">
        <v>1850</v>
      </c>
    </row>
    <row r="19" spans="1:7" s="11" customFormat="1" ht="15">
      <c r="A19" s="310"/>
      <c r="B19" s="310"/>
      <c r="C19" s="331">
        <f>SUM(C12:C18)</f>
        <v>164000</v>
      </c>
      <c r="D19" s="330"/>
      <c r="E19" s="310"/>
      <c r="F19" s="310"/>
      <c r="G19" s="310"/>
    </row>
    <row r="20" spans="1:7" ht="15">
      <c r="A20" s="322"/>
      <c r="B20" s="322"/>
      <c r="C20" s="322"/>
      <c r="D20" s="322"/>
    </row>
    <row r="21" spans="1:7" s="11" customFormat="1" ht="15">
      <c r="B21" s="89" t="s">
        <v>49</v>
      </c>
      <c r="C21" s="131" t="s">
        <v>50</v>
      </c>
    </row>
    <row r="22" spans="1:7" s="11" customFormat="1" ht="15"/>
    <row r="23" spans="1:7" s="11" customFormat="1" ht="15">
      <c r="A23" s="132"/>
      <c r="B23" s="132" t="s">
        <v>19</v>
      </c>
      <c r="C23" s="132"/>
      <c r="D23" s="132" t="s">
        <v>57</v>
      </c>
      <c r="E23" s="132" t="s">
        <v>51</v>
      </c>
      <c r="F23" s="132" t="s">
        <v>53</v>
      </c>
      <c r="G23" s="132" t="s">
        <v>111</v>
      </c>
    </row>
    <row r="24" spans="1:7" s="11" customFormat="1" ht="15">
      <c r="A24" s="123">
        <v>1</v>
      </c>
      <c r="B24" s="123" t="s">
        <v>47</v>
      </c>
      <c r="C24" s="123">
        <v>50000</v>
      </c>
      <c r="D24" s="130">
        <v>42522</v>
      </c>
      <c r="E24" s="123" t="s">
        <v>52</v>
      </c>
      <c r="F24" s="123">
        <v>60000</v>
      </c>
      <c r="G24" s="123"/>
    </row>
    <row r="25" spans="1:7" s="11" customFormat="1" ht="15">
      <c r="A25" s="123">
        <v>2</v>
      </c>
      <c r="B25" s="123" t="s">
        <v>48</v>
      </c>
      <c r="C25" s="123">
        <v>1000</v>
      </c>
      <c r="D25" s="130">
        <v>43070</v>
      </c>
      <c r="E25" s="123" t="s">
        <v>52</v>
      </c>
      <c r="F25" s="123"/>
      <c r="G25" s="123"/>
    </row>
    <row r="26" spans="1:7" s="11" customFormat="1" ht="15">
      <c r="A26" s="123">
        <v>3</v>
      </c>
      <c r="B26" s="123" t="s">
        <v>298</v>
      </c>
      <c r="C26" s="123">
        <v>1000</v>
      </c>
      <c r="D26" s="130">
        <v>43435</v>
      </c>
      <c r="E26" s="123" t="s">
        <v>52</v>
      </c>
      <c r="F26" s="123">
        <v>70000</v>
      </c>
      <c r="G26" s="123" t="s">
        <v>304</v>
      </c>
    </row>
    <row r="27" spans="1:7" s="11" customFormat="1" ht="15">
      <c r="A27" s="123">
        <v>4</v>
      </c>
      <c r="B27" s="123" t="s">
        <v>352</v>
      </c>
      <c r="C27" s="123">
        <v>2000</v>
      </c>
      <c r="D27" s="123"/>
      <c r="E27" s="123"/>
      <c r="F27" s="123"/>
      <c r="G27" s="123"/>
    </row>
    <row r="28" spans="1:7" s="11" customFormat="1" ht="15">
      <c r="A28" s="123">
        <v>5</v>
      </c>
      <c r="B28" s="123" t="s">
        <v>618</v>
      </c>
      <c r="C28" s="123">
        <v>50000</v>
      </c>
      <c r="D28" s="130" t="s">
        <v>619</v>
      </c>
      <c r="E28" s="123" t="s">
        <v>52</v>
      </c>
      <c r="F28" s="123"/>
      <c r="G28" s="123"/>
    </row>
    <row r="29" spans="1:7" s="11" customFormat="1" ht="15">
      <c r="A29" s="123"/>
      <c r="B29" s="123" t="s">
        <v>886</v>
      </c>
      <c r="C29" s="123">
        <v>0</v>
      </c>
      <c r="D29" s="123"/>
      <c r="E29" s="123"/>
      <c r="F29" s="123"/>
      <c r="G29" s="123"/>
    </row>
    <row r="30" spans="1:7" s="11" customFormat="1" ht="15">
      <c r="A30" s="123">
        <v>6</v>
      </c>
      <c r="B30" s="123" t="s">
        <v>885</v>
      </c>
      <c r="C30" s="123">
        <v>50000</v>
      </c>
      <c r="D30" s="123" t="s">
        <v>887</v>
      </c>
      <c r="E30" s="123" t="s">
        <v>888</v>
      </c>
      <c r="F30" s="123"/>
      <c r="G30" s="123" t="s">
        <v>889</v>
      </c>
    </row>
    <row r="31" spans="1:7" s="11" customFormat="1" ht="15">
      <c r="A31" s="123"/>
      <c r="B31" s="123"/>
      <c r="C31" s="123">
        <f>SUM(C24:C30)</f>
        <v>154000</v>
      </c>
      <c r="D31" s="123"/>
      <c r="E31" s="123"/>
      <c r="F31" s="123"/>
      <c r="G31" s="123"/>
    </row>
    <row r="32" spans="1:7" ht="15">
      <c r="A32" s="322"/>
      <c r="B32" s="322"/>
      <c r="C32" s="322"/>
      <c r="D32" s="322"/>
    </row>
    <row r="34" spans="1:1024" s="11" customFormat="1" ht="15"/>
    <row r="36" spans="1:1024" ht="15.75">
      <c r="A36" s="685" t="s">
        <v>1212</v>
      </c>
      <c r="B36" s="687"/>
      <c r="C36" s="686"/>
    </row>
    <row r="37" spans="1:1024" ht="15">
      <c r="A37" s="310" t="s">
        <v>544</v>
      </c>
      <c r="B37" s="608" t="s">
        <v>543</v>
      </c>
      <c r="E37" s="8"/>
    </row>
    <row r="38" spans="1:1024" ht="15">
      <c r="A38" s="315" t="s">
        <v>1211</v>
      </c>
      <c r="E38" s="8"/>
    </row>
    <row r="39" spans="1:1024" s="86" customFormat="1" ht="15.75">
      <c r="A39" s="318" t="s">
        <v>474</v>
      </c>
      <c r="B39" s="318" t="s">
        <v>308</v>
      </c>
      <c r="C39" s="318" t="s">
        <v>475</v>
      </c>
      <c r="D39" s="318" t="s">
        <v>486</v>
      </c>
      <c r="E39" s="318" t="s">
        <v>487</v>
      </c>
      <c r="F39" s="318" t="s">
        <v>488</v>
      </c>
      <c r="G39" s="318" t="s">
        <v>603</v>
      </c>
      <c r="H39" s="318" t="s">
        <v>604</v>
      </c>
      <c r="I39" s="318" t="s">
        <v>284</v>
      </c>
      <c r="J39" s="318" t="s">
        <v>111</v>
      </c>
      <c r="K39" s="318" t="s">
        <v>493</v>
      </c>
      <c r="L39" s="318" t="s">
        <v>605</v>
      </c>
      <c r="M39" s="139"/>
      <c r="N39" s="139"/>
      <c r="O39" s="139"/>
      <c r="P39" s="139"/>
      <c r="T39" s="139"/>
      <c r="U39" s="139"/>
      <c r="V39" s="139"/>
      <c r="W39" s="139"/>
      <c r="X39" s="139"/>
      <c r="Y39" s="139"/>
      <c r="Z39" s="139"/>
      <c r="AA39" s="139"/>
      <c r="AB39" s="139"/>
      <c r="AC39" s="139"/>
      <c r="AD39" s="139"/>
      <c r="AE39" s="139"/>
      <c r="AF39" s="139"/>
      <c r="AG39" s="139"/>
      <c r="AH39" s="139"/>
      <c r="AI39" s="139"/>
      <c r="AJ39" s="139"/>
      <c r="AK39" s="139"/>
      <c r="AL39" s="139"/>
      <c r="AM39" s="139"/>
      <c r="AN39" s="139"/>
      <c r="AO39" s="139"/>
      <c r="AP39" s="139"/>
      <c r="AQ39" s="139"/>
      <c r="AR39" s="139"/>
      <c r="AS39" s="139"/>
      <c r="AT39" s="139"/>
      <c r="AU39" s="139"/>
      <c r="AV39" s="139"/>
      <c r="AW39" s="139"/>
      <c r="AX39" s="139"/>
      <c r="AY39" s="139"/>
      <c r="AZ39" s="139"/>
      <c r="BA39" s="139"/>
      <c r="BB39" s="139"/>
      <c r="BC39" s="139"/>
      <c r="BD39" s="139"/>
      <c r="BE39" s="139"/>
      <c r="BF39" s="139"/>
      <c r="BG39" s="139"/>
      <c r="BH39" s="139"/>
      <c r="BI39" s="139"/>
      <c r="BJ39" s="139"/>
      <c r="BK39" s="139"/>
      <c r="BL39" s="139"/>
      <c r="BM39" s="139"/>
      <c r="BN39" s="139"/>
      <c r="BO39" s="139"/>
      <c r="BP39" s="139"/>
      <c r="BQ39" s="139"/>
      <c r="BR39" s="139"/>
      <c r="BS39" s="139"/>
      <c r="BT39" s="139"/>
      <c r="BU39" s="139"/>
      <c r="BV39" s="139"/>
      <c r="BW39" s="139"/>
      <c r="BX39" s="139"/>
      <c r="BY39" s="139"/>
      <c r="BZ39" s="139"/>
      <c r="CA39" s="139"/>
      <c r="CB39" s="139"/>
      <c r="CC39" s="139"/>
      <c r="CD39" s="139"/>
      <c r="CE39" s="139"/>
      <c r="CF39" s="139"/>
      <c r="CG39" s="139"/>
      <c r="CH39" s="139"/>
      <c r="CI39" s="139"/>
      <c r="CJ39" s="139"/>
      <c r="CK39" s="139"/>
      <c r="CL39" s="139"/>
      <c r="CM39" s="139"/>
      <c r="CN39" s="139"/>
      <c r="CO39" s="139"/>
      <c r="CP39" s="139"/>
      <c r="CQ39" s="139"/>
      <c r="CR39" s="139"/>
      <c r="CS39" s="139"/>
      <c r="CT39" s="139"/>
      <c r="CU39" s="139"/>
      <c r="CV39" s="139"/>
      <c r="CW39" s="139"/>
      <c r="CX39" s="139"/>
      <c r="CY39" s="139"/>
      <c r="CZ39" s="139"/>
      <c r="DA39" s="139"/>
      <c r="DB39" s="139"/>
      <c r="DC39" s="139"/>
      <c r="DD39" s="139"/>
      <c r="DE39" s="139"/>
      <c r="DF39" s="139"/>
      <c r="DG39" s="139"/>
      <c r="DH39" s="139"/>
      <c r="DI39" s="139"/>
      <c r="DJ39" s="139"/>
      <c r="DK39" s="139"/>
      <c r="DL39" s="139"/>
      <c r="DM39" s="139"/>
      <c r="DN39" s="139"/>
      <c r="DO39" s="139"/>
      <c r="DP39" s="139"/>
      <c r="DQ39" s="139"/>
      <c r="DR39" s="139"/>
      <c r="DS39" s="139"/>
      <c r="DT39" s="139"/>
      <c r="DU39" s="139"/>
      <c r="DV39" s="139"/>
      <c r="DW39" s="139"/>
      <c r="DX39" s="139"/>
      <c r="DY39" s="139"/>
      <c r="DZ39" s="139"/>
      <c r="EA39" s="139"/>
      <c r="EB39" s="139"/>
      <c r="EC39" s="139"/>
      <c r="ED39" s="139"/>
      <c r="EE39" s="139"/>
      <c r="EF39" s="139"/>
      <c r="EG39" s="139"/>
      <c r="EH39" s="139"/>
      <c r="EI39" s="139"/>
      <c r="EJ39" s="139"/>
      <c r="EK39" s="139"/>
      <c r="EL39" s="139"/>
      <c r="EM39" s="139"/>
      <c r="EN39" s="139"/>
      <c r="EO39" s="139"/>
      <c r="EP39" s="139"/>
      <c r="EQ39" s="139"/>
      <c r="ER39" s="139"/>
      <c r="ES39" s="139"/>
      <c r="ET39" s="139"/>
      <c r="EU39" s="139"/>
      <c r="EV39" s="139"/>
      <c r="EW39" s="139"/>
      <c r="EX39" s="139"/>
      <c r="EY39" s="139"/>
      <c r="EZ39" s="139"/>
      <c r="FA39" s="139"/>
      <c r="FB39" s="139"/>
      <c r="FC39" s="139"/>
      <c r="FD39" s="139"/>
      <c r="FE39" s="139"/>
      <c r="FF39" s="139"/>
      <c r="FG39" s="139"/>
      <c r="FH39" s="139"/>
      <c r="FI39" s="139"/>
      <c r="FJ39" s="139"/>
      <c r="FK39" s="139"/>
      <c r="FL39" s="139"/>
      <c r="FM39" s="139"/>
      <c r="FN39" s="139"/>
      <c r="FO39" s="139"/>
      <c r="FP39" s="139"/>
      <c r="FQ39" s="139"/>
      <c r="FR39" s="139"/>
      <c r="FS39" s="139"/>
      <c r="FT39" s="139"/>
      <c r="FU39" s="139"/>
      <c r="FV39" s="139"/>
      <c r="FW39" s="139"/>
      <c r="FX39" s="139"/>
      <c r="FY39" s="139"/>
      <c r="FZ39" s="139"/>
      <c r="GA39" s="139"/>
      <c r="GB39" s="139"/>
      <c r="GC39" s="139"/>
      <c r="GD39" s="139"/>
      <c r="GE39" s="139"/>
      <c r="GF39" s="139"/>
      <c r="GG39" s="139"/>
      <c r="GH39" s="139"/>
      <c r="GI39" s="139"/>
      <c r="GJ39" s="139"/>
      <c r="GK39" s="139"/>
      <c r="GL39" s="139"/>
      <c r="GM39" s="139"/>
      <c r="GN39" s="139"/>
      <c r="GO39" s="139"/>
      <c r="GP39" s="139"/>
      <c r="GQ39" s="139"/>
      <c r="GR39" s="139"/>
      <c r="GS39" s="139"/>
      <c r="GT39" s="139"/>
      <c r="GU39" s="139"/>
      <c r="GV39" s="139"/>
      <c r="GW39" s="139"/>
      <c r="GX39" s="139"/>
      <c r="GY39" s="139"/>
      <c r="GZ39" s="139"/>
      <c r="HA39" s="139"/>
      <c r="HB39" s="139"/>
      <c r="HC39" s="139"/>
      <c r="HD39" s="139"/>
      <c r="HE39" s="139"/>
      <c r="HF39" s="139"/>
      <c r="HG39" s="139"/>
      <c r="HH39" s="139"/>
      <c r="HI39" s="139"/>
      <c r="HJ39" s="139"/>
      <c r="HK39" s="139"/>
      <c r="HL39" s="139"/>
      <c r="HM39" s="139"/>
      <c r="HN39" s="139"/>
      <c r="HO39" s="139"/>
      <c r="HP39" s="139"/>
      <c r="HQ39" s="139"/>
      <c r="HR39" s="139"/>
      <c r="HS39" s="139"/>
      <c r="HT39" s="139"/>
      <c r="HU39" s="139"/>
      <c r="HV39" s="139"/>
      <c r="HW39" s="139"/>
      <c r="HX39" s="139"/>
      <c r="HY39" s="139"/>
      <c r="HZ39" s="139"/>
      <c r="IA39" s="139"/>
      <c r="IB39" s="139"/>
      <c r="IC39" s="139"/>
      <c r="ID39" s="139"/>
      <c r="IE39" s="139"/>
      <c r="IF39" s="139"/>
      <c r="IG39" s="139"/>
      <c r="IH39" s="139"/>
      <c r="II39" s="139"/>
      <c r="IJ39" s="139"/>
      <c r="IK39" s="139"/>
      <c r="IL39" s="139"/>
      <c r="IM39" s="139"/>
      <c r="IN39" s="139"/>
      <c r="IO39" s="139"/>
      <c r="IP39" s="139"/>
      <c r="IQ39" s="139"/>
      <c r="IR39" s="139"/>
      <c r="IS39" s="139"/>
      <c r="IT39" s="139"/>
      <c r="IU39" s="139"/>
      <c r="IV39" s="139"/>
      <c r="IW39" s="139"/>
      <c r="IX39" s="139"/>
      <c r="IY39" s="139"/>
      <c r="IZ39" s="139"/>
      <c r="JA39" s="139"/>
      <c r="JB39" s="139"/>
      <c r="JC39" s="139"/>
      <c r="JD39" s="139"/>
      <c r="JE39" s="139"/>
      <c r="JF39" s="139"/>
      <c r="JG39" s="139"/>
      <c r="JH39" s="139"/>
      <c r="JI39" s="139"/>
      <c r="JJ39" s="139"/>
      <c r="JK39" s="139"/>
      <c r="JL39" s="139"/>
      <c r="JM39" s="139"/>
      <c r="JN39" s="139"/>
      <c r="JO39" s="139"/>
      <c r="JP39" s="139"/>
      <c r="JQ39" s="139"/>
      <c r="JR39" s="139"/>
      <c r="JS39" s="139"/>
      <c r="JT39" s="139"/>
      <c r="JU39" s="139"/>
      <c r="JV39" s="139"/>
      <c r="JW39" s="139"/>
      <c r="JX39" s="139"/>
      <c r="JY39" s="139"/>
      <c r="JZ39" s="139"/>
      <c r="KA39" s="139"/>
      <c r="KB39" s="139"/>
      <c r="KC39" s="139"/>
      <c r="KD39" s="139"/>
      <c r="KE39" s="139"/>
      <c r="KF39" s="139"/>
      <c r="KG39" s="139"/>
      <c r="KH39" s="139"/>
      <c r="KI39" s="139"/>
      <c r="KJ39" s="139"/>
      <c r="KK39" s="139"/>
      <c r="KL39" s="139"/>
      <c r="KM39" s="139"/>
      <c r="KN39" s="139"/>
      <c r="KO39" s="139"/>
      <c r="KP39" s="139"/>
      <c r="KQ39" s="139"/>
      <c r="KR39" s="139"/>
      <c r="KS39" s="139"/>
      <c r="KT39" s="139"/>
      <c r="KU39" s="139"/>
      <c r="KV39" s="139"/>
      <c r="KW39" s="139"/>
      <c r="KX39" s="139"/>
      <c r="KY39" s="139"/>
      <c r="KZ39" s="139"/>
      <c r="LA39" s="139"/>
      <c r="LB39" s="139"/>
      <c r="LC39" s="139"/>
      <c r="LD39" s="139"/>
      <c r="LE39" s="139"/>
      <c r="LF39" s="139"/>
      <c r="LG39" s="139"/>
      <c r="LH39" s="139"/>
      <c r="LI39" s="139"/>
      <c r="LJ39" s="139"/>
      <c r="LK39" s="139"/>
      <c r="LL39" s="139"/>
      <c r="LM39" s="139"/>
      <c r="LN39" s="139"/>
      <c r="LO39" s="139"/>
      <c r="LP39" s="139"/>
      <c r="LQ39" s="139"/>
      <c r="LR39" s="139"/>
      <c r="LS39" s="139"/>
      <c r="LT39" s="139"/>
      <c r="LU39" s="139"/>
      <c r="LV39" s="139"/>
      <c r="LW39" s="139"/>
      <c r="LX39" s="139"/>
      <c r="LY39" s="139"/>
      <c r="LZ39" s="139"/>
      <c r="MA39" s="139"/>
      <c r="MB39" s="139"/>
      <c r="MC39" s="139"/>
      <c r="MD39" s="139"/>
      <c r="ME39" s="139"/>
      <c r="MF39" s="139"/>
      <c r="MG39" s="139"/>
      <c r="MH39" s="139"/>
      <c r="MI39" s="139"/>
      <c r="MJ39" s="139"/>
      <c r="MK39" s="139"/>
      <c r="ML39" s="139"/>
      <c r="MM39" s="139"/>
      <c r="MN39" s="139"/>
      <c r="MO39" s="139"/>
      <c r="MP39" s="139"/>
      <c r="MQ39" s="139"/>
      <c r="MR39" s="139"/>
      <c r="MS39" s="139"/>
      <c r="MT39" s="139"/>
      <c r="MU39" s="139"/>
      <c r="MV39" s="139"/>
      <c r="MW39" s="139"/>
      <c r="MX39" s="139"/>
      <c r="MY39" s="139"/>
      <c r="MZ39" s="139"/>
      <c r="NA39" s="139"/>
      <c r="NB39" s="139"/>
      <c r="NC39" s="139"/>
      <c r="ND39" s="139"/>
      <c r="NE39" s="139"/>
      <c r="NF39" s="139"/>
      <c r="NG39" s="139"/>
      <c r="NH39" s="139"/>
      <c r="NI39" s="139"/>
      <c r="NJ39" s="139"/>
      <c r="NK39" s="139"/>
      <c r="NL39" s="139"/>
      <c r="NM39" s="139"/>
      <c r="NN39" s="139"/>
      <c r="NO39" s="139"/>
      <c r="NP39" s="139"/>
      <c r="NQ39" s="139"/>
      <c r="NR39" s="139"/>
      <c r="NS39" s="139"/>
      <c r="NT39" s="139"/>
      <c r="NU39" s="139"/>
      <c r="NV39" s="139"/>
      <c r="NW39" s="139"/>
      <c r="NX39" s="139"/>
      <c r="NY39" s="139"/>
      <c r="NZ39" s="139"/>
      <c r="OA39" s="139"/>
      <c r="OB39" s="139"/>
      <c r="OC39" s="139"/>
      <c r="OD39" s="139"/>
      <c r="OE39" s="139"/>
      <c r="OF39" s="139"/>
      <c r="OG39" s="139"/>
      <c r="OH39" s="139"/>
      <c r="OI39" s="139"/>
      <c r="OJ39" s="139"/>
      <c r="OK39" s="139"/>
      <c r="OL39" s="139"/>
      <c r="OM39" s="139"/>
      <c r="ON39" s="139"/>
      <c r="OO39" s="139"/>
      <c r="OP39" s="139"/>
      <c r="OQ39" s="139"/>
      <c r="OR39" s="139"/>
      <c r="OS39" s="139"/>
      <c r="OT39" s="139"/>
      <c r="OU39" s="139"/>
      <c r="OV39" s="139"/>
      <c r="OW39" s="139"/>
      <c r="OX39" s="139"/>
      <c r="OY39" s="139"/>
      <c r="OZ39" s="139"/>
      <c r="PA39" s="139"/>
      <c r="PB39" s="139"/>
      <c r="PC39" s="139"/>
      <c r="PD39" s="139"/>
      <c r="PE39" s="139"/>
      <c r="PF39" s="139"/>
      <c r="PG39" s="139"/>
      <c r="PH39" s="139"/>
      <c r="PI39" s="139"/>
      <c r="PJ39" s="139"/>
      <c r="PK39" s="139"/>
      <c r="PL39" s="139"/>
      <c r="PM39" s="139"/>
      <c r="PN39" s="139"/>
      <c r="PO39" s="139"/>
      <c r="PP39" s="139"/>
      <c r="PQ39" s="139"/>
      <c r="PR39" s="139"/>
      <c r="PS39" s="139"/>
      <c r="PT39" s="139"/>
      <c r="PU39" s="139"/>
      <c r="PV39" s="139"/>
      <c r="PW39" s="139"/>
      <c r="PX39" s="139"/>
      <c r="PY39" s="139"/>
      <c r="PZ39" s="139"/>
      <c r="QA39" s="139"/>
      <c r="QB39" s="139"/>
      <c r="QC39" s="139"/>
      <c r="QD39" s="139"/>
      <c r="QE39" s="139"/>
      <c r="QF39" s="139"/>
      <c r="QG39" s="139"/>
      <c r="QH39" s="139"/>
      <c r="QI39" s="139"/>
      <c r="QJ39" s="139"/>
      <c r="QK39" s="139"/>
      <c r="QL39" s="139"/>
      <c r="QM39" s="139"/>
      <c r="QN39" s="139"/>
      <c r="QO39" s="139"/>
      <c r="QP39" s="139"/>
      <c r="QQ39" s="139"/>
      <c r="QR39" s="139"/>
      <c r="QS39" s="139"/>
      <c r="QT39" s="139"/>
      <c r="QU39" s="139"/>
      <c r="QV39" s="139"/>
      <c r="QW39" s="139"/>
      <c r="QX39" s="139"/>
      <c r="QY39" s="139"/>
      <c r="QZ39" s="139"/>
      <c r="RA39" s="139"/>
      <c r="RB39" s="139"/>
      <c r="RC39" s="139"/>
      <c r="RD39" s="139"/>
      <c r="RE39" s="139"/>
      <c r="RF39" s="139"/>
      <c r="RG39" s="139"/>
      <c r="RH39" s="139"/>
      <c r="RI39" s="139"/>
      <c r="RJ39" s="139"/>
      <c r="RK39" s="139"/>
      <c r="RL39" s="139"/>
      <c r="RM39" s="139"/>
      <c r="RN39" s="139"/>
      <c r="RO39" s="139"/>
      <c r="RP39" s="139"/>
      <c r="RQ39" s="139"/>
      <c r="RR39" s="139"/>
      <c r="RS39" s="139"/>
      <c r="RT39" s="139"/>
      <c r="RU39" s="139"/>
      <c r="RV39" s="139"/>
      <c r="RW39" s="139"/>
      <c r="RX39" s="139"/>
      <c r="RY39" s="139"/>
      <c r="RZ39" s="139"/>
      <c r="SA39" s="139"/>
      <c r="SB39" s="139"/>
      <c r="SC39" s="139"/>
      <c r="SD39" s="139"/>
      <c r="SE39" s="139"/>
      <c r="SF39" s="139"/>
      <c r="SG39" s="139"/>
      <c r="SH39" s="139"/>
      <c r="SI39" s="139"/>
      <c r="SJ39" s="139"/>
      <c r="SK39" s="139"/>
      <c r="SL39" s="139"/>
      <c r="SM39" s="139"/>
      <c r="SN39" s="139"/>
      <c r="SO39" s="139"/>
      <c r="SP39" s="139"/>
      <c r="SQ39" s="139"/>
      <c r="SR39" s="139"/>
      <c r="SS39" s="139"/>
      <c r="ST39" s="139"/>
      <c r="SU39" s="139"/>
      <c r="SV39" s="139"/>
      <c r="SW39" s="139"/>
      <c r="SX39" s="139"/>
      <c r="SY39" s="139"/>
      <c r="SZ39" s="139"/>
      <c r="TA39" s="139"/>
      <c r="TB39" s="139"/>
      <c r="TC39" s="139"/>
      <c r="TD39" s="139"/>
      <c r="TE39" s="139"/>
      <c r="TF39" s="139"/>
      <c r="TG39" s="139"/>
      <c r="TH39" s="139"/>
      <c r="TI39" s="139"/>
      <c r="TJ39" s="139"/>
      <c r="TK39" s="139"/>
      <c r="TL39" s="139"/>
      <c r="TM39" s="139"/>
      <c r="TN39" s="139"/>
      <c r="TO39" s="139"/>
      <c r="TP39" s="139"/>
      <c r="TQ39" s="139"/>
      <c r="TR39" s="139"/>
      <c r="TS39" s="139"/>
      <c r="TT39" s="139"/>
      <c r="TU39" s="139"/>
      <c r="TV39" s="139"/>
      <c r="TW39" s="139"/>
      <c r="TX39" s="139"/>
      <c r="TY39" s="139"/>
      <c r="TZ39" s="139"/>
      <c r="UA39" s="139"/>
      <c r="UB39" s="139"/>
      <c r="UC39" s="139"/>
      <c r="UD39" s="139"/>
      <c r="UE39" s="139"/>
      <c r="UF39" s="139"/>
      <c r="UG39" s="139"/>
      <c r="UH39" s="139"/>
      <c r="UI39" s="139"/>
      <c r="UJ39" s="139"/>
      <c r="UK39" s="139"/>
      <c r="UL39" s="139"/>
      <c r="UM39" s="139"/>
      <c r="UN39" s="139"/>
      <c r="UO39" s="139"/>
      <c r="UP39" s="139"/>
      <c r="UQ39" s="139"/>
      <c r="UR39" s="139"/>
      <c r="US39" s="139"/>
      <c r="UT39" s="139"/>
      <c r="UU39" s="139"/>
      <c r="UV39" s="139"/>
      <c r="UW39" s="139"/>
      <c r="UX39" s="139"/>
      <c r="UY39" s="139"/>
      <c r="UZ39" s="139"/>
      <c r="VA39" s="139"/>
      <c r="VB39" s="139"/>
      <c r="VC39" s="139"/>
      <c r="VD39" s="139"/>
      <c r="VE39" s="139"/>
      <c r="VF39" s="139"/>
      <c r="VG39" s="139"/>
      <c r="VH39" s="139"/>
      <c r="VI39" s="139"/>
      <c r="VJ39" s="139"/>
      <c r="VK39" s="139"/>
      <c r="VL39" s="139"/>
      <c r="VM39" s="139"/>
      <c r="VN39" s="139"/>
      <c r="VO39" s="139"/>
      <c r="VP39" s="139"/>
      <c r="VQ39" s="139"/>
      <c r="VR39" s="139"/>
      <c r="VS39" s="139"/>
      <c r="VT39" s="139"/>
      <c r="VU39" s="139"/>
      <c r="VV39" s="139"/>
      <c r="VW39" s="139"/>
      <c r="VX39" s="139"/>
      <c r="VY39" s="139"/>
      <c r="VZ39" s="139"/>
      <c r="WA39" s="139"/>
      <c r="WB39" s="139"/>
      <c r="WC39" s="139"/>
      <c r="WD39" s="139"/>
      <c r="WE39" s="139"/>
      <c r="WF39" s="139"/>
      <c r="WG39" s="139"/>
      <c r="WH39" s="139"/>
      <c r="WI39" s="139"/>
      <c r="WJ39" s="139"/>
      <c r="WK39" s="139"/>
      <c r="WL39" s="139"/>
      <c r="WM39" s="139"/>
      <c r="WN39" s="139"/>
      <c r="WO39" s="139"/>
      <c r="WP39" s="139"/>
      <c r="WQ39" s="139"/>
      <c r="WR39" s="139"/>
      <c r="WS39" s="139"/>
      <c r="WT39" s="139"/>
      <c r="WU39" s="139"/>
      <c r="WV39" s="139"/>
      <c r="WW39" s="139"/>
      <c r="WX39" s="139"/>
      <c r="WY39" s="139"/>
      <c r="WZ39" s="139"/>
      <c r="XA39" s="139"/>
      <c r="XB39" s="139"/>
      <c r="XC39" s="139"/>
      <c r="XD39" s="139"/>
      <c r="XE39" s="139"/>
      <c r="XF39" s="139"/>
      <c r="XG39" s="139"/>
      <c r="XH39" s="139"/>
      <c r="XI39" s="139"/>
      <c r="XJ39" s="139"/>
      <c r="XK39" s="139"/>
      <c r="XL39" s="139"/>
      <c r="XM39" s="139"/>
      <c r="XN39" s="139"/>
      <c r="XO39" s="139"/>
      <c r="XP39" s="139"/>
      <c r="XQ39" s="139"/>
      <c r="XR39" s="139"/>
      <c r="XS39" s="139"/>
      <c r="XT39" s="139"/>
      <c r="XU39" s="139"/>
      <c r="XV39" s="139"/>
      <c r="XW39" s="139"/>
      <c r="XX39" s="139"/>
      <c r="XY39" s="139"/>
      <c r="XZ39" s="139"/>
      <c r="YA39" s="139"/>
      <c r="YB39" s="139"/>
      <c r="YC39" s="139"/>
      <c r="YD39" s="139"/>
      <c r="YE39" s="139"/>
      <c r="YF39" s="139"/>
      <c r="YG39" s="139"/>
      <c r="YH39" s="139"/>
      <c r="YI39" s="139"/>
      <c r="YJ39" s="139"/>
      <c r="YK39" s="139"/>
      <c r="YL39" s="139"/>
      <c r="YM39" s="139"/>
      <c r="YN39" s="139"/>
      <c r="YO39" s="139"/>
      <c r="YP39" s="139"/>
      <c r="YQ39" s="139"/>
      <c r="YR39" s="139"/>
      <c r="YS39" s="139"/>
      <c r="YT39" s="139"/>
      <c r="YU39" s="139"/>
      <c r="YV39" s="139"/>
      <c r="YW39" s="139"/>
      <c r="YX39" s="139"/>
      <c r="YY39" s="139"/>
      <c r="YZ39" s="139"/>
      <c r="ZA39" s="139"/>
      <c r="ZB39" s="139"/>
      <c r="ZC39" s="139"/>
      <c r="ZD39" s="139"/>
      <c r="ZE39" s="139"/>
      <c r="ZF39" s="139"/>
      <c r="ZG39" s="139"/>
      <c r="ZH39" s="139"/>
      <c r="ZI39" s="139"/>
      <c r="ZJ39" s="139"/>
      <c r="ZK39" s="139"/>
      <c r="ZL39" s="139"/>
      <c r="ZM39" s="139"/>
      <c r="ZN39" s="139"/>
      <c r="ZO39" s="139"/>
      <c r="ZP39" s="139"/>
      <c r="ZQ39" s="139"/>
      <c r="ZR39" s="139"/>
      <c r="ZS39" s="139"/>
      <c r="ZT39" s="139"/>
      <c r="ZU39" s="139"/>
      <c r="ZV39" s="139"/>
      <c r="ZW39" s="139"/>
      <c r="ZX39" s="139"/>
      <c r="ZY39" s="139"/>
      <c r="ZZ39" s="139"/>
      <c r="AAA39" s="139"/>
      <c r="AAB39" s="139"/>
      <c r="AAC39" s="139"/>
      <c r="AAD39" s="139"/>
      <c r="AAE39" s="139"/>
      <c r="AAF39" s="139"/>
      <c r="AAG39" s="139"/>
      <c r="AAH39" s="139"/>
      <c r="AAI39" s="139"/>
      <c r="AAJ39" s="139"/>
      <c r="AAK39" s="139"/>
      <c r="AAL39" s="139"/>
      <c r="AAM39" s="139"/>
      <c r="AAN39" s="139"/>
      <c r="AAO39" s="139"/>
      <c r="AAP39" s="139"/>
      <c r="AAQ39" s="139"/>
      <c r="AAR39" s="139"/>
      <c r="AAS39" s="139"/>
      <c r="AAT39" s="139"/>
      <c r="AAU39" s="139"/>
      <c r="AAV39" s="139"/>
      <c r="AAW39" s="139"/>
      <c r="AAX39" s="139"/>
      <c r="AAY39" s="139"/>
      <c r="AAZ39" s="139"/>
      <c r="ABA39" s="139"/>
      <c r="ABB39" s="139"/>
      <c r="ABC39" s="139"/>
      <c r="ABD39" s="139"/>
      <c r="ABE39" s="139"/>
      <c r="ABF39" s="139"/>
      <c r="ABG39" s="139"/>
      <c r="ABH39" s="139"/>
      <c r="ABI39" s="139"/>
      <c r="ABJ39" s="139"/>
      <c r="ABK39" s="139"/>
      <c r="ABL39" s="139"/>
      <c r="ABM39" s="139"/>
      <c r="ABN39" s="139"/>
      <c r="ABO39" s="139"/>
      <c r="ABP39" s="139"/>
      <c r="ABQ39" s="139"/>
      <c r="ABR39" s="139"/>
      <c r="ABS39" s="139"/>
      <c r="ABT39" s="139"/>
      <c r="ABU39" s="139"/>
      <c r="ABV39" s="139"/>
      <c r="ABW39" s="139"/>
      <c r="ABX39" s="139"/>
      <c r="ABY39" s="139"/>
      <c r="ABZ39" s="139"/>
      <c r="ACA39" s="139"/>
      <c r="ACB39" s="139"/>
      <c r="ACC39" s="139"/>
      <c r="ACD39" s="139"/>
      <c r="ACE39" s="139"/>
      <c r="ACF39" s="139"/>
      <c r="ACG39" s="139"/>
      <c r="ACH39" s="139"/>
      <c r="ACI39" s="139"/>
      <c r="ACJ39" s="139"/>
      <c r="ACK39" s="139"/>
      <c r="ACL39" s="139"/>
      <c r="ACM39" s="139"/>
      <c r="ACN39" s="139"/>
      <c r="ACO39" s="139"/>
      <c r="ACP39" s="139"/>
      <c r="ACQ39" s="139"/>
      <c r="ACR39" s="139"/>
      <c r="ACS39" s="139"/>
      <c r="ACT39" s="139"/>
      <c r="ACU39" s="139"/>
      <c r="ACV39" s="139"/>
      <c r="ACW39" s="139"/>
      <c r="ACX39" s="139"/>
      <c r="ACY39" s="139"/>
      <c r="ACZ39" s="139"/>
      <c r="ADA39" s="139"/>
      <c r="ADB39" s="139"/>
      <c r="ADC39" s="139"/>
      <c r="ADD39" s="139"/>
      <c r="ADE39" s="139"/>
      <c r="ADF39" s="139"/>
      <c r="ADG39" s="139"/>
      <c r="ADH39" s="139"/>
      <c r="ADI39" s="139"/>
      <c r="ADJ39" s="139"/>
      <c r="ADK39" s="139"/>
      <c r="ADL39" s="139"/>
      <c r="ADM39" s="139"/>
      <c r="ADN39" s="139"/>
      <c r="ADO39" s="139"/>
      <c r="ADP39" s="139"/>
      <c r="ADQ39" s="139"/>
      <c r="ADR39" s="139"/>
      <c r="ADS39" s="139"/>
      <c r="ADT39" s="139"/>
      <c r="ADU39" s="139"/>
      <c r="ADV39" s="139"/>
      <c r="ADW39" s="139"/>
      <c r="ADX39" s="139"/>
      <c r="ADY39" s="139"/>
      <c r="ADZ39" s="139"/>
      <c r="AEA39" s="139"/>
      <c r="AEB39" s="139"/>
      <c r="AEC39" s="139"/>
      <c r="AED39" s="139"/>
      <c r="AEE39" s="139"/>
      <c r="AEF39" s="139"/>
      <c r="AEG39" s="139"/>
      <c r="AEH39" s="139"/>
      <c r="AEI39" s="139"/>
      <c r="AEJ39" s="139"/>
      <c r="AEK39" s="139"/>
      <c r="AEL39" s="139"/>
      <c r="AEM39" s="139"/>
      <c r="AEN39" s="139"/>
      <c r="AEO39" s="139"/>
      <c r="AEP39" s="139"/>
      <c r="AEQ39" s="139"/>
      <c r="AER39" s="139"/>
      <c r="AES39" s="139"/>
      <c r="AET39" s="139"/>
      <c r="AEU39" s="139"/>
      <c r="AEV39" s="139"/>
      <c r="AEW39" s="139"/>
      <c r="AEX39" s="139"/>
      <c r="AEY39" s="139"/>
      <c r="AEZ39" s="139"/>
      <c r="AFA39" s="139"/>
      <c r="AFB39" s="139"/>
      <c r="AFC39" s="139"/>
      <c r="AFD39" s="139"/>
      <c r="AFE39" s="139"/>
      <c r="AFF39" s="139"/>
      <c r="AFG39" s="139"/>
      <c r="AFH39" s="139"/>
      <c r="AFI39" s="139"/>
      <c r="AFJ39" s="139"/>
      <c r="AFK39" s="139"/>
      <c r="AFL39" s="139"/>
      <c r="AFM39" s="139"/>
      <c r="AFN39" s="139"/>
      <c r="AFO39" s="139"/>
      <c r="AFP39" s="139"/>
      <c r="AFQ39" s="139"/>
      <c r="AFR39" s="139"/>
      <c r="AFS39" s="139"/>
      <c r="AFT39" s="139"/>
      <c r="AFU39" s="139"/>
      <c r="AFV39" s="139"/>
      <c r="AFW39" s="139"/>
      <c r="AFX39" s="139"/>
      <c r="AFY39" s="139"/>
      <c r="AFZ39" s="139"/>
      <c r="AGA39" s="139"/>
      <c r="AGB39" s="139"/>
      <c r="AGC39" s="139"/>
      <c r="AGD39" s="139"/>
      <c r="AGE39" s="139"/>
      <c r="AGF39" s="139"/>
      <c r="AGG39" s="139"/>
      <c r="AGH39" s="139"/>
      <c r="AGI39" s="139"/>
      <c r="AGJ39" s="139"/>
      <c r="AGK39" s="139"/>
      <c r="AGL39" s="139"/>
      <c r="AGM39" s="139"/>
      <c r="AGN39" s="139"/>
      <c r="AGO39" s="139"/>
      <c r="AGP39" s="139"/>
      <c r="AGQ39" s="139"/>
      <c r="AGR39" s="139"/>
      <c r="AGS39" s="139"/>
      <c r="AGT39" s="139"/>
      <c r="AGU39" s="139"/>
      <c r="AGV39" s="139"/>
      <c r="AGW39" s="139"/>
      <c r="AGX39" s="139"/>
      <c r="AGY39" s="139"/>
      <c r="AGZ39" s="139"/>
      <c r="AHA39" s="139"/>
      <c r="AHB39" s="139"/>
      <c r="AHC39" s="139"/>
      <c r="AHD39" s="139"/>
      <c r="AHE39" s="139"/>
      <c r="AHF39" s="139"/>
      <c r="AHG39" s="139"/>
      <c r="AHH39" s="139"/>
      <c r="AHI39" s="139"/>
      <c r="AHJ39" s="139"/>
      <c r="AHK39" s="139"/>
      <c r="AHL39" s="139"/>
      <c r="AHM39" s="139"/>
      <c r="AHN39" s="139"/>
      <c r="AHO39" s="139"/>
      <c r="AHP39" s="139"/>
      <c r="AHQ39" s="139"/>
      <c r="AHR39" s="139"/>
      <c r="AHS39" s="139"/>
      <c r="AHT39" s="139"/>
      <c r="AHU39" s="139"/>
      <c r="AHV39" s="139"/>
      <c r="AHW39" s="139"/>
      <c r="AHX39" s="139"/>
      <c r="AHY39" s="139"/>
      <c r="AHZ39" s="139"/>
      <c r="AIA39" s="139"/>
      <c r="AIB39" s="139"/>
      <c r="AIC39" s="139"/>
      <c r="AID39" s="139"/>
      <c r="AIE39" s="139"/>
      <c r="AIF39" s="139"/>
      <c r="AIG39" s="139"/>
      <c r="AIH39" s="139"/>
      <c r="AII39" s="139"/>
      <c r="AIJ39" s="139"/>
      <c r="AIK39" s="139"/>
      <c r="AIL39" s="139"/>
      <c r="AIM39" s="139"/>
      <c r="AIN39" s="139"/>
      <c r="AIO39" s="139"/>
      <c r="AIP39" s="139"/>
      <c r="AIQ39" s="139"/>
      <c r="AIR39" s="139"/>
      <c r="AIS39" s="139"/>
      <c r="AIT39" s="139"/>
      <c r="AIU39" s="139"/>
      <c r="AIV39" s="139"/>
      <c r="AIW39" s="139"/>
      <c r="AIX39" s="139"/>
      <c r="AIY39" s="139"/>
      <c r="AIZ39" s="139"/>
      <c r="AJA39" s="139"/>
      <c r="AJB39" s="139"/>
      <c r="AJC39" s="139"/>
      <c r="AJD39" s="139"/>
      <c r="AJE39" s="139"/>
      <c r="AJF39" s="139"/>
      <c r="AJG39" s="139"/>
      <c r="AJH39" s="139"/>
      <c r="AJI39" s="139"/>
      <c r="AJJ39" s="139"/>
      <c r="AJK39" s="139"/>
      <c r="AJL39" s="139"/>
      <c r="AJM39" s="139"/>
      <c r="AJN39" s="139"/>
      <c r="AJO39" s="139"/>
      <c r="AJP39" s="139"/>
      <c r="AJQ39" s="139"/>
      <c r="AJR39" s="139"/>
      <c r="AJS39" s="139"/>
      <c r="AJT39" s="139"/>
      <c r="AJU39" s="139"/>
      <c r="AJV39" s="139"/>
      <c r="AJW39" s="139"/>
      <c r="AJX39" s="139"/>
      <c r="AJY39" s="139"/>
      <c r="AJZ39" s="139"/>
      <c r="AKA39" s="139"/>
      <c r="AKB39" s="139"/>
      <c r="AKC39" s="139"/>
      <c r="AKD39" s="139"/>
      <c r="AKE39" s="139"/>
      <c r="AKF39" s="139"/>
      <c r="AKG39" s="139"/>
      <c r="AKH39" s="139"/>
      <c r="AKI39" s="139"/>
      <c r="AKJ39" s="139"/>
      <c r="AKK39" s="139"/>
      <c r="AKL39" s="139"/>
      <c r="AKM39" s="139"/>
      <c r="AKN39" s="139"/>
      <c r="AKO39" s="139"/>
      <c r="AKP39" s="139"/>
      <c r="AKQ39" s="139"/>
      <c r="AKR39" s="139"/>
      <c r="AKS39" s="139"/>
      <c r="AKT39" s="139"/>
      <c r="AKU39" s="139"/>
      <c r="AKV39" s="139"/>
      <c r="AKW39" s="139"/>
      <c r="AKX39" s="139"/>
      <c r="AKY39" s="139"/>
      <c r="AKZ39" s="139"/>
      <c r="ALA39" s="139"/>
      <c r="ALB39" s="139"/>
      <c r="ALC39" s="139"/>
      <c r="ALD39" s="139"/>
      <c r="ALE39" s="139"/>
      <c r="ALF39" s="139"/>
      <c r="ALG39" s="139"/>
      <c r="ALH39" s="139"/>
      <c r="ALI39" s="139"/>
      <c r="ALJ39" s="139"/>
      <c r="ALK39" s="139"/>
      <c r="ALL39" s="139"/>
      <c r="ALM39" s="139"/>
      <c r="ALN39" s="139"/>
      <c r="ALO39" s="139"/>
      <c r="ALP39" s="139"/>
      <c r="ALQ39" s="139"/>
      <c r="ALR39" s="139"/>
      <c r="ALS39" s="139"/>
      <c r="ALT39" s="139"/>
      <c r="ALU39" s="139"/>
      <c r="ALV39" s="139"/>
      <c r="ALW39" s="139"/>
      <c r="ALX39" s="139"/>
      <c r="ALY39" s="139"/>
      <c r="ALZ39" s="139"/>
      <c r="AMA39" s="139"/>
      <c r="AMB39" s="139"/>
      <c r="AMC39" s="139"/>
      <c r="AMD39" s="139"/>
      <c r="AME39" s="139"/>
      <c r="AMF39" s="139"/>
      <c r="AMG39" s="139"/>
      <c r="AMH39" s="139"/>
      <c r="AMI39" s="139"/>
      <c r="AMJ39" s="139"/>
    </row>
    <row r="40" spans="1:1024" ht="15">
      <c r="A40" s="310">
        <v>1</v>
      </c>
      <c r="B40" s="310" t="s">
        <v>473</v>
      </c>
      <c r="C40" s="310" t="s">
        <v>472</v>
      </c>
      <c r="D40" s="310">
        <v>25477</v>
      </c>
      <c r="E40" s="310">
        <v>10717</v>
      </c>
      <c r="F40" s="310">
        <v>14760</v>
      </c>
      <c r="G40" s="310"/>
      <c r="H40" s="310">
        <v>0</v>
      </c>
      <c r="I40" s="310" t="s">
        <v>489</v>
      </c>
      <c r="J40" s="310" t="s">
        <v>490</v>
      </c>
      <c r="K40" s="310"/>
      <c r="L40" s="310"/>
    </row>
    <row r="41" spans="1:1024" ht="15">
      <c r="A41" s="310">
        <f t="shared" ref="A41:A46" si="1">A40+1</f>
        <v>2</v>
      </c>
      <c r="B41" s="310" t="s">
        <v>477</v>
      </c>
      <c r="C41" s="310" t="s">
        <v>476</v>
      </c>
      <c r="D41" s="310">
        <v>12488</v>
      </c>
      <c r="E41" s="310">
        <v>6630</v>
      </c>
      <c r="F41" s="310">
        <f>D41-E41</f>
        <v>5858</v>
      </c>
      <c r="G41" s="310"/>
      <c r="H41" s="310">
        <v>0</v>
      </c>
      <c r="I41" s="310" t="s">
        <v>491</v>
      </c>
      <c r="J41" s="310" t="s">
        <v>494</v>
      </c>
      <c r="K41" s="310" t="s">
        <v>492</v>
      </c>
      <c r="L41" s="310"/>
    </row>
    <row r="42" spans="1:1024" ht="15">
      <c r="A42" s="310">
        <f t="shared" si="1"/>
        <v>3</v>
      </c>
      <c r="B42" s="310" t="s">
        <v>479</v>
      </c>
      <c r="C42" s="310" t="s">
        <v>478</v>
      </c>
      <c r="D42" s="310">
        <f>780*5</f>
        <v>3900</v>
      </c>
      <c r="E42" s="310">
        <v>3900</v>
      </c>
      <c r="F42" s="310">
        <v>0</v>
      </c>
      <c r="G42" s="310"/>
      <c r="H42" s="310">
        <v>7800</v>
      </c>
      <c r="I42" s="310" t="s">
        <v>496</v>
      </c>
      <c r="J42" s="310"/>
      <c r="K42" s="310" t="s">
        <v>495</v>
      </c>
      <c r="L42" s="310"/>
    </row>
    <row r="43" spans="1:1024" ht="15">
      <c r="A43" s="310">
        <f t="shared" si="1"/>
        <v>4</v>
      </c>
      <c r="B43" s="310" t="s">
        <v>481</v>
      </c>
      <c r="C43" s="310" t="s">
        <v>480</v>
      </c>
      <c r="D43" s="310">
        <v>7763</v>
      </c>
      <c r="E43" s="310">
        <v>2379</v>
      </c>
      <c r="F43" s="310">
        <f>D43-E43</f>
        <v>5384</v>
      </c>
      <c r="G43" s="310"/>
      <c r="H43" s="310">
        <v>0</v>
      </c>
      <c r="I43" s="310" t="s">
        <v>489</v>
      </c>
      <c r="J43" s="310" t="s">
        <v>490</v>
      </c>
      <c r="K43" s="310"/>
      <c r="L43" s="310"/>
    </row>
    <row r="44" spans="1:1024" ht="15">
      <c r="A44" s="310">
        <f t="shared" si="1"/>
        <v>5</v>
      </c>
      <c r="B44" s="310" t="s">
        <v>483</v>
      </c>
      <c r="C44" s="310" t="s">
        <v>482</v>
      </c>
      <c r="D44" s="310">
        <v>126592</v>
      </c>
      <c r="E44" s="310">
        <v>44021</v>
      </c>
      <c r="F44" s="310">
        <v>27107</v>
      </c>
      <c r="G44" s="310">
        <f>D44+E44</f>
        <v>170613</v>
      </c>
      <c r="H44" s="310">
        <f>D44+E44+F44</f>
        <v>197720</v>
      </c>
      <c r="I44" s="310" t="s">
        <v>606</v>
      </c>
      <c r="J44" s="310" t="s">
        <v>497</v>
      </c>
      <c r="K44" s="310"/>
      <c r="L44" s="310"/>
    </row>
    <row r="45" spans="1:1024" ht="15">
      <c r="A45" s="310">
        <f t="shared" si="1"/>
        <v>6</v>
      </c>
      <c r="B45" s="310" t="s">
        <v>173</v>
      </c>
      <c r="C45" s="310" t="s">
        <v>484</v>
      </c>
      <c r="D45" s="310">
        <v>62154</v>
      </c>
      <c r="E45" s="310">
        <v>18992</v>
      </c>
      <c r="F45" s="310">
        <v>31024</v>
      </c>
      <c r="G45" s="310">
        <f>D45+E45</f>
        <v>81146</v>
      </c>
      <c r="H45" s="310">
        <f>D45+E45+F45</f>
        <v>112170</v>
      </c>
      <c r="I45" s="310" t="s">
        <v>606</v>
      </c>
      <c r="J45" s="310"/>
      <c r="K45" s="310"/>
      <c r="L45" s="310"/>
    </row>
    <row r="46" spans="1:1024" ht="15">
      <c r="A46" s="310">
        <f t="shared" si="1"/>
        <v>7</v>
      </c>
      <c r="B46" s="310" t="s">
        <v>63</v>
      </c>
      <c r="C46" s="310" t="s">
        <v>485</v>
      </c>
      <c r="D46" s="310">
        <v>225195</v>
      </c>
      <c r="E46" s="310">
        <v>180964</v>
      </c>
      <c r="F46" s="310">
        <v>42500</v>
      </c>
      <c r="G46" s="310"/>
      <c r="H46" s="310">
        <f>D46+E46+F46</f>
        <v>448659</v>
      </c>
      <c r="I46" s="310" t="s">
        <v>498</v>
      </c>
      <c r="J46" s="310"/>
      <c r="K46" s="310" t="s">
        <v>720</v>
      </c>
      <c r="L46" s="310"/>
    </row>
    <row r="47" spans="1:1024" ht="15">
      <c r="A47" s="310"/>
      <c r="B47" s="310"/>
      <c r="C47" s="310"/>
      <c r="D47" s="310"/>
      <c r="E47" s="310"/>
      <c r="F47" s="310">
        <f>SUM(F40:F46)</f>
        <v>126633</v>
      </c>
      <c r="G47" s="310"/>
      <c r="H47" s="319">
        <f>SUM(H40:H46)</f>
        <v>766349</v>
      </c>
      <c r="I47" s="310" t="s">
        <v>545</v>
      </c>
      <c r="J47" s="310"/>
      <c r="K47" s="310"/>
      <c r="L47" s="310"/>
    </row>
    <row r="48" spans="1:1024">
      <c r="A48" s="172" t="s">
        <v>609</v>
      </c>
      <c r="B48" s="173" t="s">
        <v>607</v>
      </c>
      <c r="C48" s="173" t="s">
        <v>608</v>
      </c>
      <c r="D48" s="172" t="s">
        <v>610</v>
      </c>
      <c r="H48" s="647" t="s">
        <v>2186</v>
      </c>
      <c r="I48" s="647" t="s">
        <v>2187</v>
      </c>
    </row>
    <row r="52" spans="1:16" ht="15.75">
      <c r="A52" s="685" t="s">
        <v>1213</v>
      </c>
      <c r="B52" s="687"/>
      <c r="C52" s="686"/>
    </row>
    <row r="53" spans="1:16" ht="15">
      <c r="A53" s="310" t="s">
        <v>24</v>
      </c>
      <c r="B53" s="310" t="s">
        <v>306</v>
      </c>
      <c r="F53" s="1"/>
      <c r="K53" s="4"/>
    </row>
    <row r="54" spans="1:16" ht="15.75">
      <c r="A54" s="318" t="s">
        <v>25</v>
      </c>
      <c r="B54" s="318" t="s">
        <v>719</v>
      </c>
      <c r="C54" s="318" t="s">
        <v>26</v>
      </c>
      <c r="D54" s="318" t="s">
        <v>1214</v>
      </c>
      <c r="E54" s="318" t="s">
        <v>28</v>
      </c>
      <c r="F54" s="318" t="s">
        <v>29</v>
      </c>
      <c r="G54" s="318" t="s">
        <v>30</v>
      </c>
      <c r="H54" s="318" t="s">
        <v>31</v>
      </c>
      <c r="I54" s="7"/>
      <c r="K54" s="6"/>
    </row>
    <row r="55" spans="1:16" ht="15">
      <c r="A55" s="323">
        <v>1</v>
      </c>
      <c r="B55" s="323" t="s">
        <v>32</v>
      </c>
      <c r="C55" s="315">
        <v>26000</v>
      </c>
      <c r="D55" s="324">
        <v>0</v>
      </c>
      <c r="E55" s="324">
        <f t="shared" ref="E55:E69" si="2">C55+D55</f>
        <v>26000</v>
      </c>
      <c r="F55" s="325">
        <v>8.6999999999999993</v>
      </c>
      <c r="G55" s="324">
        <v>986</v>
      </c>
      <c r="H55" s="324">
        <f t="shared" ref="H55:H68" si="3">E55+G55</f>
        <v>26986</v>
      </c>
      <c r="I55" s="7"/>
      <c r="K55" s="6"/>
    </row>
    <row r="56" spans="1:16" ht="15">
      <c r="A56" s="323">
        <f t="shared" ref="A56:A69" si="4">A55+1</f>
        <v>2</v>
      </c>
      <c r="B56" s="323" t="s">
        <v>33</v>
      </c>
      <c r="C56" s="315">
        <v>150000</v>
      </c>
      <c r="D56" s="324">
        <f t="shared" ref="D56:D69" si="5">H55</f>
        <v>26986</v>
      </c>
      <c r="E56" s="324">
        <f>C56+D56</f>
        <v>176986</v>
      </c>
      <c r="F56" s="325">
        <f t="shared" ref="F56:F69" si="6">F55</f>
        <v>8.6999999999999993</v>
      </c>
      <c r="G56" s="324">
        <f t="shared" ref="G56:G69" si="7">E56*F56/100</f>
        <v>15397.781999999999</v>
      </c>
      <c r="H56" s="324">
        <f t="shared" si="3"/>
        <v>192383.78200000001</v>
      </c>
      <c r="I56" s="7"/>
      <c r="J56" s="7"/>
      <c r="K56" s="7"/>
      <c r="L56" s="7"/>
      <c r="M56" s="7"/>
      <c r="N56" s="7"/>
      <c r="O56" s="7"/>
      <c r="P56" s="7"/>
    </row>
    <row r="57" spans="1:16" ht="15">
      <c r="A57" s="323">
        <f t="shared" si="4"/>
        <v>3</v>
      </c>
      <c r="B57" s="323" t="s">
        <v>22</v>
      </c>
      <c r="C57" s="315">
        <v>60000</v>
      </c>
      <c r="D57" s="324">
        <f>H56</f>
        <v>192383.78200000001</v>
      </c>
      <c r="E57" s="324">
        <f t="shared" si="2"/>
        <v>252383.78200000001</v>
      </c>
      <c r="F57" s="325">
        <v>8.1</v>
      </c>
      <c r="G57" s="324">
        <f t="shared" si="7"/>
        <v>20443.086341999999</v>
      </c>
      <c r="H57" s="324">
        <f t="shared" si="3"/>
        <v>272826.868342</v>
      </c>
      <c r="I57" s="7"/>
      <c r="J57" s="7"/>
      <c r="K57" s="7"/>
      <c r="L57" s="7"/>
      <c r="M57" s="7"/>
      <c r="N57" s="7"/>
      <c r="O57" s="7"/>
      <c r="P57" s="7"/>
    </row>
    <row r="58" spans="1:16" ht="15">
      <c r="A58" s="323">
        <f t="shared" si="4"/>
        <v>4</v>
      </c>
      <c r="B58" s="323" t="s">
        <v>23</v>
      </c>
      <c r="C58" s="315">
        <v>1500</v>
      </c>
      <c r="D58" s="324">
        <f t="shared" si="5"/>
        <v>272826.868342</v>
      </c>
      <c r="E58" s="324">
        <f t="shared" si="2"/>
        <v>274326.868342</v>
      </c>
      <c r="F58" s="325">
        <v>8</v>
      </c>
      <c r="G58" s="324">
        <f t="shared" si="7"/>
        <v>21946.149467359999</v>
      </c>
      <c r="H58" s="324">
        <f>E58+G58</f>
        <v>296273.01780936</v>
      </c>
      <c r="I58" s="7"/>
      <c r="J58" s="7"/>
      <c r="K58" s="7"/>
      <c r="L58" s="7"/>
      <c r="M58" s="7"/>
      <c r="N58" s="7"/>
      <c r="O58" s="7"/>
      <c r="P58" s="7"/>
    </row>
    <row r="59" spans="1:16" ht="15">
      <c r="A59" s="323">
        <f t="shared" si="4"/>
        <v>5</v>
      </c>
      <c r="B59" s="323" t="s">
        <v>46</v>
      </c>
      <c r="C59" s="315">
        <v>1000</v>
      </c>
      <c r="D59" s="324">
        <f t="shared" si="5"/>
        <v>296273.01780936</v>
      </c>
      <c r="E59" s="324">
        <f t="shared" si="2"/>
        <v>297273.01780936</v>
      </c>
      <c r="F59" s="325">
        <v>8</v>
      </c>
      <c r="G59" s="324">
        <f>E59*F59/100</f>
        <v>23781.8414247488</v>
      </c>
      <c r="H59" s="324">
        <f t="shared" si="3"/>
        <v>321054.85923410882</v>
      </c>
      <c r="I59" s="7"/>
      <c r="J59" s="7"/>
      <c r="K59" s="7"/>
      <c r="L59" s="7"/>
      <c r="M59" s="7"/>
      <c r="N59" s="7"/>
      <c r="O59" s="7"/>
      <c r="P59" s="7"/>
    </row>
    <row r="60" spans="1:16" ht="15">
      <c r="A60" s="323">
        <f t="shared" si="4"/>
        <v>6</v>
      </c>
      <c r="B60" s="323" t="s">
        <v>62</v>
      </c>
      <c r="C60" s="315">
        <v>2000</v>
      </c>
      <c r="D60" s="324">
        <f t="shared" si="5"/>
        <v>321054.85923410882</v>
      </c>
      <c r="E60" s="324">
        <f t="shared" si="2"/>
        <v>323054.85923410882</v>
      </c>
      <c r="F60" s="325">
        <f t="shared" si="6"/>
        <v>8</v>
      </c>
      <c r="G60" s="324">
        <f t="shared" si="7"/>
        <v>25844.388738728707</v>
      </c>
      <c r="H60" s="324">
        <f t="shared" si="3"/>
        <v>348899.24797283753</v>
      </c>
      <c r="I60" s="7"/>
      <c r="J60" s="7"/>
      <c r="K60" s="7"/>
      <c r="L60" s="7"/>
      <c r="M60" s="7"/>
      <c r="N60" s="7"/>
      <c r="O60" s="7"/>
      <c r="P60" s="7"/>
    </row>
    <row r="61" spans="1:16" ht="15">
      <c r="A61" s="323">
        <f t="shared" si="4"/>
        <v>7</v>
      </c>
      <c r="B61" s="323" t="s">
        <v>357</v>
      </c>
      <c r="C61" s="315">
        <v>16000</v>
      </c>
      <c r="D61" s="324">
        <f t="shared" si="5"/>
        <v>348899.24797283753</v>
      </c>
      <c r="E61" s="324">
        <f t="shared" si="2"/>
        <v>364899.24797283753</v>
      </c>
      <c r="F61" s="325">
        <v>7.9</v>
      </c>
      <c r="G61" s="324">
        <f t="shared" si="7"/>
        <v>28827.040589854169</v>
      </c>
      <c r="H61" s="324">
        <f t="shared" si="3"/>
        <v>393726.28856269171</v>
      </c>
      <c r="I61" s="7"/>
      <c r="J61" s="7"/>
      <c r="K61" s="7"/>
      <c r="L61" s="7"/>
      <c r="M61" s="7"/>
      <c r="N61" s="7"/>
      <c r="O61" s="7"/>
      <c r="P61" s="7"/>
    </row>
    <row r="62" spans="1:16" ht="15">
      <c r="A62" s="323">
        <f t="shared" si="4"/>
        <v>8</v>
      </c>
      <c r="B62" s="323" t="s">
        <v>615</v>
      </c>
      <c r="C62" s="315">
        <v>150000</v>
      </c>
      <c r="D62" s="324">
        <f t="shared" si="5"/>
        <v>393726.28856269171</v>
      </c>
      <c r="E62" s="324">
        <f t="shared" si="2"/>
        <v>543726.28856269177</v>
      </c>
      <c r="F62" s="325">
        <v>7.1</v>
      </c>
      <c r="G62" s="324">
        <f t="shared" si="7"/>
        <v>38604.566487951117</v>
      </c>
      <c r="H62" s="324">
        <f t="shared" si="3"/>
        <v>582330.85505064286</v>
      </c>
      <c r="I62" s="7"/>
      <c r="J62" s="7"/>
      <c r="K62" s="7"/>
      <c r="L62" s="7"/>
      <c r="M62" s="7"/>
      <c r="N62" s="7"/>
      <c r="O62" s="7"/>
      <c r="P62" s="7"/>
    </row>
    <row r="63" spans="1:16" ht="15">
      <c r="A63" s="323">
        <f t="shared" si="4"/>
        <v>9</v>
      </c>
      <c r="B63" s="323"/>
      <c r="C63" s="315">
        <v>0</v>
      </c>
      <c r="D63" s="324">
        <f t="shared" si="5"/>
        <v>582330.85505064286</v>
      </c>
      <c r="E63" s="324">
        <f t="shared" si="2"/>
        <v>582330.85505064286</v>
      </c>
      <c r="F63" s="325">
        <f t="shared" si="6"/>
        <v>7.1</v>
      </c>
      <c r="G63" s="324">
        <f t="shared" si="7"/>
        <v>41345.490708595637</v>
      </c>
      <c r="H63" s="324">
        <f t="shared" si="3"/>
        <v>623676.34575923847</v>
      </c>
      <c r="I63" s="7"/>
      <c r="J63" s="7"/>
      <c r="K63" s="7"/>
      <c r="L63" s="7"/>
      <c r="M63" s="7"/>
      <c r="N63" s="7"/>
      <c r="O63" s="7"/>
      <c r="P63" s="7"/>
    </row>
    <row r="64" spans="1:16" ht="15">
      <c r="A64" s="323">
        <f t="shared" si="4"/>
        <v>10</v>
      </c>
      <c r="B64" s="323"/>
      <c r="C64" s="315">
        <v>0</v>
      </c>
      <c r="D64" s="324">
        <f t="shared" si="5"/>
        <v>623676.34575923847</v>
      </c>
      <c r="E64" s="324">
        <f t="shared" si="2"/>
        <v>623676.34575923847</v>
      </c>
      <c r="F64" s="325">
        <f t="shared" si="6"/>
        <v>7.1</v>
      </c>
      <c r="G64" s="324">
        <f t="shared" si="7"/>
        <v>44281.020548905923</v>
      </c>
      <c r="H64" s="324">
        <f t="shared" si="3"/>
        <v>667957.36630814441</v>
      </c>
      <c r="I64" s="7"/>
      <c r="J64" s="7"/>
      <c r="K64" s="7"/>
      <c r="L64" s="7"/>
      <c r="M64" s="7"/>
      <c r="N64" s="7"/>
      <c r="O64" s="7"/>
      <c r="P64" s="7"/>
    </row>
    <row r="65" spans="1:16" ht="15">
      <c r="A65" s="323">
        <f t="shared" si="4"/>
        <v>11</v>
      </c>
      <c r="B65" s="323"/>
      <c r="C65" s="315">
        <v>0</v>
      </c>
      <c r="D65" s="324">
        <f t="shared" si="5"/>
        <v>667957.36630814441</v>
      </c>
      <c r="E65" s="324">
        <f t="shared" si="2"/>
        <v>667957.36630814441</v>
      </c>
      <c r="F65" s="325">
        <f t="shared" si="6"/>
        <v>7.1</v>
      </c>
      <c r="G65" s="324">
        <f t="shared" si="7"/>
        <v>47424.973007878252</v>
      </c>
      <c r="H65" s="324">
        <f t="shared" si="3"/>
        <v>715382.3393160227</v>
      </c>
      <c r="I65" s="7"/>
      <c r="J65" s="7"/>
      <c r="K65" s="7"/>
      <c r="L65" s="7"/>
      <c r="M65" s="7"/>
      <c r="N65" s="7"/>
      <c r="O65" s="7"/>
      <c r="P65" s="7"/>
    </row>
    <row r="66" spans="1:16" ht="15">
      <c r="A66" s="323">
        <f t="shared" si="4"/>
        <v>12</v>
      </c>
      <c r="B66" s="323"/>
      <c r="C66" s="315">
        <v>0</v>
      </c>
      <c r="D66" s="324">
        <f t="shared" si="5"/>
        <v>715382.3393160227</v>
      </c>
      <c r="E66" s="324">
        <f t="shared" si="2"/>
        <v>715382.3393160227</v>
      </c>
      <c r="F66" s="325">
        <f t="shared" si="6"/>
        <v>7.1</v>
      </c>
      <c r="G66" s="324">
        <f t="shared" si="7"/>
        <v>50792.146091437608</v>
      </c>
      <c r="H66" s="324">
        <f t="shared" si="3"/>
        <v>766174.48540746025</v>
      </c>
      <c r="I66" s="7"/>
      <c r="J66" s="7"/>
      <c r="K66" s="7"/>
      <c r="L66" s="7"/>
      <c r="M66" s="7"/>
      <c r="N66" s="7"/>
      <c r="O66" s="7"/>
      <c r="P66" s="7"/>
    </row>
    <row r="67" spans="1:16" ht="15">
      <c r="A67" s="323">
        <f t="shared" si="4"/>
        <v>13</v>
      </c>
      <c r="B67" s="323"/>
      <c r="C67" s="315">
        <v>0</v>
      </c>
      <c r="D67" s="324">
        <f t="shared" si="5"/>
        <v>766174.48540746025</v>
      </c>
      <c r="E67" s="324">
        <f t="shared" si="2"/>
        <v>766174.48540746025</v>
      </c>
      <c r="F67" s="325">
        <f t="shared" si="6"/>
        <v>7.1</v>
      </c>
      <c r="G67" s="324">
        <f t="shared" si="7"/>
        <v>54398.388463929674</v>
      </c>
      <c r="H67" s="324">
        <f t="shared" si="3"/>
        <v>820572.87387138989</v>
      </c>
      <c r="I67" s="7"/>
      <c r="J67" s="7"/>
      <c r="K67" s="7"/>
      <c r="L67" s="7"/>
      <c r="M67" s="7"/>
      <c r="N67" s="7"/>
      <c r="O67" s="7"/>
      <c r="P67" s="7"/>
    </row>
    <row r="68" spans="1:16" ht="15">
      <c r="A68" s="323">
        <f t="shared" si="4"/>
        <v>14</v>
      </c>
      <c r="B68" s="323"/>
      <c r="C68" s="315">
        <v>0</v>
      </c>
      <c r="D68" s="324">
        <f t="shared" si="5"/>
        <v>820572.87387138989</v>
      </c>
      <c r="E68" s="324">
        <f t="shared" si="2"/>
        <v>820572.87387138989</v>
      </c>
      <c r="F68" s="325">
        <f t="shared" si="6"/>
        <v>7.1</v>
      </c>
      <c r="G68" s="324">
        <f t="shared" si="7"/>
        <v>58260.674044868676</v>
      </c>
      <c r="H68" s="324">
        <f t="shared" si="3"/>
        <v>878833.54791625857</v>
      </c>
      <c r="I68" s="7"/>
      <c r="J68" s="7"/>
      <c r="K68" s="7"/>
      <c r="L68" s="7"/>
      <c r="M68" s="7"/>
      <c r="N68" s="7"/>
      <c r="O68" s="7"/>
      <c r="P68" s="7"/>
    </row>
    <row r="69" spans="1:16" ht="15">
      <c r="A69" s="323">
        <f t="shared" si="4"/>
        <v>15</v>
      </c>
      <c r="B69" s="323"/>
      <c r="C69" s="315">
        <v>0</v>
      </c>
      <c r="D69" s="324">
        <f t="shared" si="5"/>
        <v>878833.54791625857</v>
      </c>
      <c r="E69" s="324">
        <f t="shared" si="2"/>
        <v>878833.54791625857</v>
      </c>
      <c r="F69" s="325">
        <f t="shared" si="6"/>
        <v>7.1</v>
      </c>
      <c r="G69" s="324">
        <f t="shared" si="7"/>
        <v>62397.181902054355</v>
      </c>
      <c r="H69" s="324">
        <f>E69+G69</f>
        <v>941230.72981831292</v>
      </c>
      <c r="I69" s="7"/>
      <c r="J69" s="7"/>
      <c r="K69" s="7"/>
      <c r="L69" s="7"/>
      <c r="M69" s="7"/>
      <c r="N69" s="7"/>
      <c r="O69" s="7"/>
      <c r="P69" s="7"/>
    </row>
    <row r="70" spans="1:16" ht="15">
      <c r="A70" s="323"/>
      <c r="B70" s="323"/>
      <c r="C70" s="323"/>
      <c r="D70" s="324"/>
      <c r="E70" s="324"/>
      <c r="F70" s="325"/>
      <c r="G70" s="324"/>
      <c r="H70" s="324"/>
      <c r="I70" s="7"/>
      <c r="J70" s="7"/>
      <c r="K70" s="7"/>
      <c r="L70" s="7"/>
      <c r="M70" s="7"/>
      <c r="N70" s="7"/>
      <c r="O70" s="7"/>
      <c r="P70" s="7"/>
    </row>
    <row r="71" spans="1:16" ht="15">
      <c r="A71" s="323"/>
      <c r="B71" s="323"/>
      <c r="C71" s="323"/>
      <c r="D71" s="324"/>
      <c r="E71" s="324"/>
      <c r="F71" s="325"/>
      <c r="G71" s="324"/>
      <c r="H71" s="324"/>
      <c r="I71" s="7"/>
      <c r="J71" s="7"/>
      <c r="K71" s="7"/>
      <c r="L71" s="7"/>
      <c r="M71" s="7"/>
      <c r="N71" s="7"/>
      <c r="O71" s="7"/>
      <c r="P71" s="7"/>
    </row>
    <row r="72" spans="1:16" ht="15">
      <c r="A72" s="323"/>
      <c r="B72" s="323"/>
      <c r="C72" s="323"/>
      <c r="D72" s="324"/>
      <c r="E72" s="324"/>
      <c r="F72" s="325"/>
      <c r="G72" s="324"/>
      <c r="H72" s="324"/>
      <c r="I72" s="7"/>
      <c r="J72" s="7"/>
      <c r="K72" s="7"/>
      <c r="L72" s="7"/>
      <c r="M72" s="7"/>
      <c r="N72" s="7"/>
      <c r="O72" s="7"/>
      <c r="P72" s="7"/>
    </row>
    <row r="73" spans="1:16" ht="15">
      <c r="A73" s="323"/>
      <c r="B73" s="323" t="s">
        <v>34</v>
      </c>
      <c r="C73" s="326">
        <f>SUM(C55:C69)</f>
        <v>406500</v>
      </c>
      <c r="D73" s="324"/>
      <c r="E73" s="324"/>
      <c r="F73" s="325"/>
      <c r="G73" s="324"/>
      <c r="H73" s="324"/>
      <c r="I73" s="7"/>
      <c r="J73" s="7"/>
      <c r="K73" s="7"/>
      <c r="L73" s="7"/>
      <c r="M73" s="7"/>
      <c r="N73" s="7"/>
      <c r="O73" s="7"/>
      <c r="P73" s="7"/>
    </row>
    <row r="74" spans="1:16" ht="15">
      <c r="A74" s="323"/>
      <c r="B74" s="323" t="s">
        <v>35</v>
      </c>
      <c r="C74" s="327">
        <f>H69</f>
        <v>941230.72981831292</v>
      </c>
      <c r="D74" s="324">
        <f>(C74-C73)/C73*100</f>
        <v>131.54507498605483</v>
      </c>
      <c r="E74" s="324"/>
      <c r="F74" s="325"/>
      <c r="G74" s="324"/>
      <c r="H74" s="324"/>
      <c r="I74" s="7"/>
    </row>
    <row r="75" spans="1:16">
      <c r="B75" s="4"/>
    </row>
    <row r="77" spans="1:16">
      <c r="E77" s="8"/>
    </row>
    <row r="91" spans="1:16">
      <c r="B91" s="4"/>
    </row>
    <row r="94" spans="1:16">
      <c r="A94" s="4" t="s">
        <v>1215</v>
      </c>
      <c r="J94" s="4" t="s">
        <v>1216</v>
      </c>
      <c r="K94" s="4"/>
    </row>
    <row r="95" spans="1:16">
      <c r="A95" s="5" t="s">
        <v>19</v>
      </c>
      <c r="B95" s="5" t="s">
        <v>36</v>
      </c>
      <c r="C95" s="5" t="s">
        <v>27</v>
      </c>
      <c r="D95" s="5" t="s">
        <v>28</v>
      </c>
      <c r="E95" s="5" t="s">
        <v>29</v>
      </c>
      <c r="F95" s="223" t="s">
        <v>30</v>
      </c>
      <c r="G95" s="5" t="s">
        <v>31</v>
      </c>
      <c r="J95" s="5" t="s">
        <v>19</v>
      </c>
      <c r="K95" s="5" t="s">
        <v>36</v>
      </c>
      <c r="L95" s="5" t="s">
        <v>27</v>
      </c>
      <c r="M95" s="5" t="s">
        <v>28</v>
      </c>
      <c r="N95" s="5" t="s">
        <v>29</v>
      </c>
      <c r="O95" s="5" t="s">
        <v>30</v>
      </c>
      <c r="P95" s="5" t="s">
        <v>31</v>
      </c>
    </row>
    <row r="96" spans="1:16">
      <c r="A96" s="1">
        <v>1</v>
      </c>
      <c r="B96" s="8">
        <v>150000</v>
      </c>
      <c r="C96" s="8">
        <v>0</v>
      </c>
      <c r="D96" s="8">
        <f t="shared" ref="D96:D110" si="8">B96+C96</f>
        <v>150000</v>
      </c>
      <c r="E96" s="1">
        <v>9</v>
      </c>
      <c r="F96" s="222">
        <f t="shared" ref="F96:F110" si="9">D96*E96/100</f>
        <v>13500</v>
      </c>
      <c r="G96" s="8">
        <f t="shared" ref="G96:G110" si="10">D96+F96</f>
        <v>163500</v>
      </c>
      <c r="J96" s="1">
        <v>1</v>
      </c>
      <c r="K96" s="8">
        <v>50000</v>
      </c>
      <c r="L96" s="8">
        <v>0</v>
      </c>
      <c r="M96" s="8">
        <f t="shared" ref="M96:M110" si="11">K96+L96</f>
        <v>50000</v>
      </c>
      <c r="N96" s="1">
        <v>9</v>
      </c>
      <c r="O96" s="8">
        <f t="shared" ref="O96:O110" si="12">M96*N96/100</f>
        <v>4500</v>
      </c>
      <c r="P96" s="8">
        <f t="shared" ref="P96:P110" si="13">M96+O96</f>
        <v>54500</v>
      </c>
    </row>
    <row r="97" spans="1:16">
      <c r="A97" s="1">
        <f t="shared" ref="A97:A110" si="14">A96+1</f>
        <v>2</v>
      </c>
      <c r="B97" s="8">
        <f t="shared" ref="B97:B110" si="15">B96</f>
        <v>150000</v>
      </c>
      <c r="C97" s="8">
        <f t="shared" ref="C97:C110" si="16">G96</f>
        <v>163500</v>
      </c>
      <c r="D97" s="8">
        <f t="shared" si="8"/>
        <v>313500</v>
      </c>
      <c r="E97" s="1">
        <f t="shared" ref="E97:E110" si="17">E96</f>
        <v>9</v>
      </c>
      <c r="F97" s="222">
        <f t="shared" si="9"/>
        <v>28215</v>
      </c>
      <c r="G97" s="8">
        <f t="shared" si="10"/>
        <v>341715</v>
      </c>
      <c r="J97" s="1">
        <f t="shared" ref="J97:J110" si="18">J96+1</f>
        <v>2</v>
      </c>
      <c r="K97" s="8">
        <v>50000</v>
      </c>
      <c r="L97" s="8">
        <f t="shared" ref="L97:L110" si="19">P96</f>
        <v>54500</v>
      </c>
      <c r="M97" s="8">
        <f t="shared" si="11"/>
        <v>104500</v>
      </c>
      <c r="N97" s="1">
        <f t="shared" ref="N97:N110" si="20">N96</f>
        <v>9</v>
      </c>
      <c r="O97" s="8">
        <f t="shared" si="12"/>
        <v>9405</v>
      </c>
      <c r="P97" s="8">
        <f t="shared" si="13"/>
        <v>113905</v>
      </c>
    </row>
    <row r="98" spans="1:16">
      <c r="A98" s="1">
        <f t="shared" si="14"/>
        <v>3</v>
      </c>
      <c r="B98" s="8">
        <f t="shared" si="15"/>
        <v>150000</v>
      </c>
      <c r="C98" s="8">
        <f t="shared" si="16"/>
        <v>341715</v>
      </c>
      <c r="D98" s="8">
        <f t="shared" si="8"/>
        <v>491715</v>
      </c>
      <c r="E98" s="1">
        <f t="shared" si="17"/>
        <v>9</v>
      </c>
      <c r="F98" s="222">
        <f t="shared" si="9"/>
        <v>44254.35</v>
      </c>
      <c r="G98" s="8">
        <f t="shared" si="10"/>
        <v>535969.35</v>
      </c>
      <c r="J98" s="1">
        <f t="shared" si="18"/>
        <v>3</v>
      </c>
      <c r="K98" s="8">
        <v>50000</v>
      </c>
      <c r="L98" s="8">
        <f t="shared" si="19"/>
        <v>113905</v>
      </c>
      <c r="M98" s="8">
        <f t="shared" si="11"/>
        <v>163905</v>
      </c>
      <c r="N98" s="1">
        <f t="shared" si="20"/>
        <v>9</v>
      </c>
      <c r="O98" s="8">
        <f t="shared" si="12"/>
        <v>14751.45</v>
      </c>
      <c r="P98" s="8">
        <f t="shared" si="13"/>
        <v>178656.45</v>
      </c>
    </row>
    <row r="99" spans="1:16">
      <c r="A99" s="1">
        <f t="shared" si="14"/>
        <v>4</v>
      </c>
      <c r="B99" s="8">
        <f t="shared" si="15"/>
        <v>150000</v>
      </c>
      <c r="C99" s="8">
        <f t="shared" si="16"/>
        <v>535969.35</v>
      </c>
      <c r="D99" s="8">
        <f t="shared" si="8"/>
        <v>685969.35</v>
      </c>
      <c r="E99" s="1">
        <f t="shared" si="17"/>
        <v>9</v>
      </c>
      <c r="F99" s="222">
        <f t="shared" si="9"/>
        <v>61737.241499999996</v>
      </c>
      <c r="G99" s="8">
        <f t="shared" si="10"/>
        <v>747706.59149999998</v>
      </c>
      <c r="J99" s="1">
        <f t="shared" si="18"/>
        <v>4</v>
      </c>
      <c r="K99" s="8">
        <v>50000</v>
      </c>
      <c r="L99" s="8">
        <f t="shared" si="19"/>
        <v>178656.45</v>
      </c>
      <c r="M99" s="8">
        <f t="shared" si="11"/>
        <v>228656.45</v>
      </c>
      <c r="N99" s="1">
        <f t="shared" si="20"/>
        <v>9</v>
      </c>
      <c r="O99" s="8">
        <f t="shared" si="12"/>
        <v>20579.0805</v>
      </c>
      <c r="P99" s="8">
        <f t="shared" si="13"/>
        <v>249235.53050000002</v>
      </c>
    </row>
    <row r="100" spans="1:16">
      <c r="A100" s="1">
        <f t="shared" si="14"/>
        <v>5</v>
      </c>
      <c r="B100" s="8">
        <f t="shared" si="15"/>
        <v>150000</v>
      </c>
      <c r="C100" s="8">
        <f t="shared" si="16"/>
        <v>747706.59149999998</v>
      </c>
      <c r="D100" s="8">
        <f t="shared" si="8"/>
        <v>897706.59149999998</v>
      </c>
      <c r="E100" s="1">
        <f t="shared" si="17"/>
        <v>9</v>
      </c>
      <c r="F100" s="222">
        <f t="shared" si="9"/>
        <v>80793.593234999993</v>
      </c>
      <c r="G100" s="8">
        <f t="shared" si="10"/>
        <v>978500.18473500002</v>
      </c>
      <c r="J100" s="1">
        <f t="shared" si="18"/>
        <v>5</v>
      </c>
      <c r="K100" s="8">
        <v>50000</v>
      </c>
      <c r="L100" s="8">
        <f t="shared" si="19"/>
        <v>249235.53050000002</v>
      </c>
      <c r="M100" s="8">
        <f t="shared" si="11"/>
        <v>299235.53049999999</v>
      </c>
      <c r="N100" s="1">
        <f t="shared" si="20"/>
        <v>9</v>
      </c>
      <c r="O100" s="8">
        <f t="shared" si="12"/>
        <v>26931.197744999998</v>
      </c>
      <c r="P100" s="8">
        <f t="shared" si="13"/>
        <v>326166.72824500001</v>
      </c>
    </row>
    <row r="101" spans="1:16">
      <c r="A101" s="1">
        <f t="shared" si="14"/>
        <v>6</v>
      </c>
      <c r="B101" s="8">
        <f t="shared" si="15"/>
        <v>150000</v>
      </c>
      <c r="C101" s="8">
        <f t="shared" si="16"/>
        <v>978500.18473500002</v>
      </c>
      <c r="D101" s="8">
        <f t="shared" si="8"/>
        <v>1128500.1847350001</v>
      </c>
      <c r="E101" s="1">
        <f t="shared" si="17"/>
        <v>9</v>
      </c>
      <c r="F101" s="222">
        <f t="shared" si="9"/>
        <v>101565.01662615001</v>
      </c>
      <c r="G101" s="8">
        <f t="shared" si="10"/>
        <v>1230065.2013611502</v>
      </c>
      <c r="J101" s="1">
        <f t="shared" si="18"/>
        <v>6</v>
      </c>
      <c r="K101" s="8">
        <v>50000</v>
      </c>
      <c r="L101" s="8">
        <f t="shared" si="19"/>
        <v>326166.72824500001</v>
      </c>
      <c r="M101" s="8">
        <f t="shared" si="11"/>
        <v>376166.72824500001</v>
      </c>
      <c r="N101" s="1">
        <f t="shared" si="20"/>
        <v>9</v>
      </c>
      <c r="O101" s="8">
        <f t="shared" si="12"/>
        <v>33855.005542049999</v>
      </c>
      <c r="P101" s="8">
        <f t="shared" si="13"/>
        <v>410021.73378705001</v>
      </c>
    </row>
    <row r="102" spans="1:16">
      <c r="A102" s="1">
        <f t="shared" si="14"/>
        <v>7</v>
      </c>
      <c r="B102" s="8">
        <f t="shared" si="15"/>
        <v>150000</v>
      </c>
      <c r="C102" s="8">
        <f t="shared" si="16"/>
        <v>1230065.2013611502</v>
      </c>
      <c r="D102" s="8">
        <f t="shared" si="8"/>
        <v>1380065.2013611502</v>
      </c>
      <c r="E102" s="1">
        <f t="shared" si="17"/>
        <v>9</v>
      </c>
      <c r="F102" s="222">
        <f t="shared" si="9"/>
        <v>124205.86812250351</v>
      </c>
      <c r="G102" s="8">
        <f t="shared" si="10"/>
        <v>1504271.0694836536</v>
      </c>
      <c r="J102" s="1">
        <f t="shared" si="18"/>
        <v>7</v>
      </c>
      <c r="K102" s="8">
        <v>50000</v>
      </c>
      <c r="L102" s="8">
        <f t="shared" si="19"/>
        <v>410021.73378705001</v>
      </c>
      <c r="M102" s="8">
        <f t="shared" si="11"/>
        <v>460021.73378705001</v>
      </c>
      <c r="N102" s="1">
        <f t="shared" si="20"/>
        <v>9</v>
      </c>
      <c r="O102" s="8">
        <f t="shared" si="12"/>
        <v>41401.956040834499</v>
      </c>
      <c r="P102" s="8">
        <f t="shared" si="13"/>
        <v>501423.68982788449</v>
      </c>
    </row>
    <row r="103" spans="1:16">
      <c r="A103" s="1">
        <f t="shared" si="14"/>
        <v>8</v>
      </c>
      <c r="B103" s="8">
        <f t="shared" si="15"/>
        <v>150000</v>
      </c>
      <c r="C103" s="8">
        <f t="shared" si="16"/>
        <v>1504271.0694836536</v>
      </c>
      <c r="D103" s="8">
        <f t="shared" si="8"/>
        <v>1654271.0694836536</v>
      </c>
      <c r="E103" s="1">
        <f t="shared" si="17"/>
        <v>9</v>
      </c>
      <c r="F103" s="222">
        <f t="shared" si="9"/>
        <v>148884.39625352883</v>
      </c>
      <c r="G103" s="8">
        <f t="shared" si="10"/>
        <v>1803155.4657371824</v>
      </c>
      <c r="J103" s="1">
        <f t="shared" si="18"/>
        <v>8</v>
      </c>
      <c r="K103" s="8">
        <v>50000</v>
      </c>
      <c r="L103" s="8">
        <f t="shared" si="19"/>
        <v>501423.68982788449</v>
      </c>
      <c r="M103" s="8">
        <f t="shared" si="11"/>
        <v>551423.68982788455</v>
      </c>
      <c r="N103" s="1">
        <f t="shared" si="20"/>
        <v>9</v>
      </c>
      <c r="O103" s="8">
        <f t="shared" si="12"/>
        <v>49628.132084509612</v>
      </c>
      <c r="P103" s="8">
        <f t="shared" si="13"/>
        <v>601051.82191239414</v>
      </c>
    </row>
    <row r="104" spans="1:16">
      <c r="A104" s="1">
        <f t="shared" si="14"/>
        <v>9</v>
      </c>
      <c r="B104" s="8">
        <f t="shared" si="15"/>
        <v>150000</v>
      </c>
      <c r="C104" s="8">
        <f t="shared" si="16"/>
        <v>1803155.4657371824</v>
      </c>
      <c r="D104" s="8">
        <f t="shared" si="8"/>
        <v>1953155.4657371824</v>
      </c>
      <c r="E104" s="1">
        <f t="shared" si="17"/>
        <v>9</v>
      </c>
      <c r="F104" s="222">
        <f t="shared" si="9"/>
        <v>175783.99191634639</v>
      </c>
      <c r="G104" s="8">
        <f t="shared" si="10"/>
        <v>2128939.457653529</v>
      </c>
      <c r="J104" s="1">
        <f t="shared" si="18"/>
        <v>9</v>
      </c>
      <c r="K104" s="8">
        <v>50000</v>
      </c>
      <c r="L104" s="8">
        <f t="shared" si="19"/>
        <v>601051.82191239414</v>
      </c>
      <c r="M104" s="8">
        <f t="shared" si="11"/>
        <v>651051.82191239414</v>
      </c>
      <c r="N104" s="1">
        <f t="shared" si="20"/>
        <v>9</v>
      </c>
      <c r="O104" s="8">
        <f t="shared" si="12"/>
        <v>58594.663972115472</v>
      </c>
      <c r="P104" s="8">
        <f t="shared" si="13"/>
        <v>709646.48588450963</v>
      </c>
    </row>
    <row r="105" spans="1:16">
      <c r="A105" s="1">
        <f t="shared" si="14"/>
        <v>10</v>
      </c>
      <c r="B105" s="8">
        <f t="shared" si="15"/>
        <v>150000</v>
      </c>
      <c r="C105" s="8">
        <f t="shared" si="16"/>
        <v>2128939.457653529</v>
      </c>
      <c r="D105" s="8">
        <f t="shared" si="8"/>
        <v>2278939.457653529</v>
      </c>
      <c r="E105" s="1">
        <f t="shared" si="17"/>
        <v>9</v>
      </c>
      <c r="F105" s="222">
        <f t="shared" si="9"/>
        <v>205104.55118881763</v>
      </c>
      <c r="G105" s="8">
        <f t="shared" si="10"/>
        <v>2484044.0088423467</v>
      </c>
      <c r="J105" s="1">
        <f t="shared" si="18"/>
        <v>10</v>
      </c>
      <c r="K105" s="8">
        <v>50000</v>
      </c>
      <c r="L105" s="8">
        <f t="shared" si="19"/>
        <v>709646.48588450963</v>
      </c>
      <c r="M105" s="8">
        <f t="shared" si="11"/>
        <v>759646.48588450963</v>
      </c>
      <c r="N105" s="1">
        <f t="shared" si="20"/>
        <v>9</v>
      </c>
      <c r="O105" s="8">
        <f t="shared" si="12"/>
        <v>68368.183729605866</v>
      </c>
      <c r="P105" s="8">
        <f t="shared" si="13"/>
        <v>828014.6696141155</v>
      </c>
    </row>
    <row r="106" spans="1:16">
      <c r="A106" s="1">
        <f t="shared" si="14"/>
        <v>11</v>
      </c>
      <c r="B106" s="8">
        <f t="shared" si="15"/>
        <v>150000</v>
      </c>
      <c r="C106" s="8">
        <f t="shared" si="16"/>
        <v>2484044.0088423467</v>
      </c>
      <c r="D106" s="8">
        <f t="shared" si="8"/>
        <v>2634044.0088423467</v>
      </c>
      <c r="E106" s="1">
        <f t="shared" si="17"/>
        <v>9</v>
      </c>
      <c r="F106" s="222">
        <f t="shared" si="9"/>
        <v>237063.9607958112</v>
      </c>
      <c r="G106" s="8">
        <f t="shared" si="10"/>
        <v>2871107.9696381581</v>
      </c>
      <c r="J106" s="1">
        <f t="shared" si="18"/>
        <v>11</v>
      </c>
      <c r="K106" s="8">
        <v>50000</v>
      </c>
      <c r="L106" s="8">
        <f t="shared" si="19"/>
        <v>828014.6696141155</v>
      </c>
      <c r="M106" s="8">
        <f t="shared" si="11"/>
        <v>878014.6696141155</v>
      </c>
      <c r="N106" s="1">
        <f t="shared" si="20"/>
        <v>9</v>
      </c>
      <c r="O106" s="8">
        <f t="shared" si="12"/>
        <v>79021.320265270391</v>
      </c>
      <c r="P106" s="8">
        <f t="shared" si="13"/>
        <v>957035.98987938592</v>
      </c>
    </row>
    <row r="107" spans="1:16">
      <c r="A107" s="1">
        <f t="shared" si="14"/>
        <v>12</v>
      </c>
      <c r="B107" s="8">
        <f t="shared" si="15"/>
        <v>150000</v>
      </c>
      <c r="C107" s="8">
        <f t="shared" si="16"/>
        <v>2871107.9696381581</v>
      </c>
      <c r="D107" s="8">
        <f t="shared" si="8"/>
        <v>3021107.9696381581</v>
      </c>
      <c r="E107" s="1">
        <f t="shared" si="17"/>
        <v>9</v>
      </c>
      <c r="F107" s="222">
        <f t="shared" si="9"/>
        <v>271899.71726743423</v>
      </c>
      <c r="G107" s="8">
        <f t="shared" si="10"/>
        <v>3293007.6869055922</v>
      </c>
      <c r="J107" s="1">
        <f t="shared" si="18"/>
        <v>12</v>
      </c>
      <c r="K107" s="8">
        <v>50000</v>
      </c>
      <c r="L107" s="8">
        <f t="shared" si="19"/>
        <v>957035.98987938592</v>
      </c>
      <c r="M107" s="8">
        <f t="shared" si="11"/>
        <v>1007035.9898793859</v>
      </c>
      <c r="N107" s="1">
        <f t="shared" si="20"/>
        <v>9</v>
      </c>
      <c r="O107" s="8">
        <f t="shared" si="12"/>
        <v>90633.239089144728</v>
      </c>
      <c r="P107" s="8">
        <f t="shared" si="13"/>
        <v>1097669.2289685307</v>
      </c>
    </row>
    <row r="108" spans="1:16">
      <c r="A108" s="1">
        <f t="shared" si="14"/>
        <v>13</v>
      </c>
      <c r="B108" s="8">
        <f t="shared" si="15"/>
        <v>150000</v>
      </c>
      <c r="C108" s="8">
        <f t="shared" si="16"/>
        <v>3293007.6869055922</v>
      </c>
      <c r="D108" s="8">
        <f t="shared" si="8"/>
        <v>3443007.6869055922</v>
      </c>
      <c r="E108" s="1">
        <f t="shared" si="17"/>
        <v>9</v>
      </c>
      <c r="F108" s="222">
        <f t="shared" si="9"/>
        <v>309870.69182150328</v>
      </c>
      <c r="G108" s="8">
        <f t="shared" si="10"/>
        <v>3752878.3787270957</v>
      </c>
      <c r="J108" s="1">
        <f t="shared" si="18"/>
        <v>13</v>
      </c>
      <c r="K108" s="8">
        <v>50000</v>
      </c>
      <c r="L108" s="8">
        <f t="shared" si="19"/>
        <v>1097669.2289685307</v>
      </c>
      <c r="M108" s="8">
        <f t="shared" si="11"/>
        <v>1147669.2289685307</v>
      </c>
      <c r="N108" s="1">
        <f t="shared" si="20"/>
        <v>9</v>
      </c>
      <c r="O108" s="8">
        <f t="shared" si="12"/>
        <v>103290.23060716776</v>
      </c>
      <c r="P108" s="8">
        <f t="shared" si="13"/>
        <v>1250959.4595756985</v>
      </c>
    </row>
    <row r="109" spans="1:16">
      <c r="A109" s="1">
        <f t="shared" si="14"/>
        <v>14</v>
      </c>
      <c r="B109" s="8">
        <f t="shared" si="15"/>
        <v>150000</v>
      </c>
      <c r="C109" s="8">
        <f t="shared" si="16"/>
        <v>3752878.3787270957</v>
      </c>
      <c r="D109" s="8">
        <f t="shared" si="8"/>
        <v>3902878.3787270957</v>
      </c>
      <c r="E109" s="1">
        <f t="shared" si="17"/>
        <v>9</v>
      </c>
      <c r="F109" s="222">
        <f t="shared" si="9"/>
        <v>351259.05408543861</v>
      </c>
      <c r="G109" s="8">
        <f t="shared" si="10"/>
        <v>4254137.4328125343</v>
      </c>
      <c r="J109" s="1">
        <f t="shared" si="18"/>
        <v>14</v>
      </c>
      <c r="K109" s="8">
        <v>50000</v>
      </c>
      <c r="L109" s="8">
        <f t="shared" si="19"/>
        <v>1250959.4595756985</v>
      </c>
      <c r="M109" s="8">
        <f t="shared" si="11"/>
        <v>1300959.4595756985</v>
      </c>
      <c r="N109" s="1">
        <f t="shared" si="20"/>
        <v>9</v>
      </c>
      <c r="O109" s="8">
        <f t="shared" si="12"/>
        <v>117086.35136181285</v>
      </c>
      <c r="P109" s="8">
        <f t="shared" si="13"/>
        <v>1418045.8109375113</v>
      </c>
    </row>
    <row r="110" spans="1:16">
      <c r="A110" s="1">
        <f t="shared" si="14"/>
        <v>15</v>
      </c>
      <c r="B110" s="8">
        <f t="shared" si="15"/>
        <v>150000</v>
      </c>
      <c r="C110" s="8">
        <f t="shared" si="16"/>
        <v>4254137.4328125343</v>
      </c>
      <c r="D110" s="8">
        <f t="shared" si="8"/>
        <v>4404137.4328125343</v>
      </c>
      <c r="E110" s="1">
        <f t="shared" si="17"/>
        <v>9</v>
      </c>
      <c r="F110" s="222">
        <f t="shared" si="9"/>
        <v>396372.36895312811</v>
      </c>
      <c r="G110" s="8">
        <f t="shared" si="10"/>
        <v>4800509.8017656626</v>
      </c>
      <c r="J110" s="1">
        <f t="shared" si="18"/>
        <v>15</v>
      </c>
      <c r="K110" s="8">
        <v>50000</v>
      </c>
      <c r="L110" s="8">
        <f t="shared" si="19"/>
        <v>1418045.8109375113</v>
      </c>
      <c r="M110" s="8">
        <f t="shared" si="11"/>
        <v>1468045.8109375113</v>
      </c>
      <c r="N110" s="1">
        <f t="shared" si="20"/>
        <v>9</v>
      </c>
      <c r="O110" s="8">
        <f t="shared" si="12"/>
        <v>132124.12298437601</v>
      </c>
      <c r="P110" s="8">
        <f t="shared" si="13"/>
        <v>1600169.9339218873</v>
      </c>
    </row>
    <row r="111" spans="1:16">
      <c r="F111" s="222">
        <f>SUM(F96:F110)</f>
        <v>2550509.8017656617</v>
      </c>
      <c r="G111" s="8"/>
      <c r="O111" s="8">
        <f>SUM(O96:O110)</f>
        <v>850169.93392188707</v>
      </c>
      <c r="P111" s="8"/>
    </row>
    <row r="112" spans="1:16">
      <c r="A112" s="1" t="s">
        <v>37</v>
      </c>
      <c r="B112" s="8">
        <f>SUM(B96:B110)</f>
        <v>2250000</v>
      </c>
      <c r="J112" s="1" t="s">
        <v>37</v>
      </c>
      <c r="K112" s="8">
        <f>SUM(K96:K110)</f>
        <v>750000</v>
      </c>
    </row>
    <row r="113" spans="1:11">
      <c r="A113" s="1" t="s">
        <v>38</v>
      </c>
      <c r="B113" s="8">
        <f>G110</f>
        <v>4800509.8017656626</v>
      </c>
      <c r="C113" s="8">
        <f>B112*0.2</f>
        <v>450000</v>
      </c>
      <c r="D113" s="1" t="s">
        <v>39</v>
      </c>
      <c r="J113" s="1" t="s">
        <v>38</v>
      </c>
      <c r="K113" s="8">
        <f>P110</f>
        <v>1600169.9339218873</v>
      </c>
    </row>
    <row r="114" spans="1:11">
      <c r="A114" s="1" t="s">
        <v>40</v>
      </c>
      <c r="B114" s="9">
        <f>(B113+C113-B112)/B112</f>
        <v>1.3335599118958501</v>
      </c>
      <c r="D114" s="8"/>
      <c r="J114" s="1" t="s">
        <v>40</v>
      </c>
      <c r="K114" s="9">
        <f>(K113-K112)/K112</f>
        <v>1.1335599118958497</v>
      </c>
    </row>
    <row r="115" spans="1:11">
      <c r="A115" s="1" t="s">
        <v>41</v>
      </c>
      <c r="B115" s="9">
        <f>(B113+C113-B112)/(B112*15)</f>
        <v>8.890399412639001E-2</v>
      </c>
    </row>
    <row r="116" spans="1:11">
      <c r="B116" s="8">
        <f>B113+K113</f>
        <v>6400679.7356875502</v>
      </c>
    </row>
    <row r="119" spans="1:11">
      <c r="E119" s="8"/>
    </row>
    <row r="134" spans="2:2">
      <c r="B134" s="92"/>
    </row>
    <row r="135" spans="2:2">
      <c r="B135" s="92"/>
    </row>
  </sheetData>
  <mergeCells count="3">
    <mergeCell ref="A1:B1"/>
    <mergeCell ref="A36:C36"/>
    <mergeCell ref="A52:C52"/>
  </mergeCells>
  <pageMargins left="0.70000000000000007" right="0.70000000000000007" top="1.1437007874015745" bottom="1.1437007874015745" header="0.74999999999999989" footer="0.74999999999999989"/>
  <pageSetup paperSize="9" fitToWidth="0"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0C1A2-73A6-492D-940C-3F9C477B7D82}">
  <dimension ref="A1:AG129"/>
  <sheetViews>
    <sheetView topLeftCell="D7" workbookViewId="0">
      <selection activeCell="I33" sqref="I33"/>
    </sheetView>
  </sheetViews>
  <sheetFormatPr defaultRowHeight="14.25"/>
  <cols>
    <col min="1" max="1" width="0.625" customWidth="1"/>
    <col min="3" max="3" width="21" customWidth="1"/>
    <col min="4" max="5" width="32" customWidth="1"/>
    <col min="6" max="6" width="21.75" bestFit="1" customWidth="1"/>
    <col min="7" max="7" width="20" customWidth="1"/>
    <col min="8" max="8" width="18.625" bestFit="1" customWidth="1"/>
    <col min="9" max="9" width="17.625" customWidth="1"/>
    <col min="10" max="10" width="16.125" customWidth="1"/>
    <col min="11" max="11" width="15.875" customWidth="1"/>
    <col min="12" max="12" width="42.5" customWidth="1"/>
    <col min="13" max="13" width="26" customWidth="1"/>
    <col min="14" max="14" width="21.5" customWidth="1"/>
    <col min="15" max="15" width="13.5" customWidth="1"/>
    <col min="16" max="16" width="9.25" bestFit="1" customWidth="1"/>
  </cols>
  <sheetData>
    <row r="1" spans="2:33" ht="3" customHeight="1" thickBot="1"/>
    <row r="2" spans="2:33" ht="15.75" thickBot="1">
      <c r="B2" s="365" t="s">
        <v>1341</v>
      </c>
    </row>
    <row r="3" spans="2:33" ht="15">
      <c r="B3" s="523"/>
      <c r="C3" s="523"/>
      <c r="D3" s="523"/>
      <c r="E3" s="523"/>
      <c r="F3" s="523"/>
      <c r="G3" s="523"/>
      <c r="H3" s="523"/>
      <c r="I3" s="523"/>
      <c r="J3" s="523"/>
      <c r="K3" s="523"/>
      <c r="L3" s="523"/>
      <c r="M3" s="523"/>
      <c r="N3" s="523"/>
      <c r="O3" s="523"/>
      <c r="P3" s="523"/>
      <c r="Q3" s="523"/>
      <c r="R3" s="523"/>
      <c r="S3" s="523"/>
      <c r="T3" s="523"/>
      <c r="U3" s="523"/>
      <c r="V3" s="523"/>
      <c r="W3" s="523"/>
      <c r="X3" s="523"/>
      <c r="Y3" s="523"/>
      <c r="Z3" s="523"/>
      <c r="AA3" s="523"/>
      <c r="AB3" s="523"/>
      <c r="AC3" s="523"/>
      <c r="AD3" s="523"/>
      <c r="AE3" s="523"/>
      <c r="AF3" s="523"/>
      <c r="AG3" s="523"/>
    </row>
    <row r="4" spans="2:33" ht="15.75">
      <c r="B4" s="523"/>
      <c r="C4" s="540" t="s">
        <v>1342</v>
      </c>
      <c r="D4" s="523"/>
      <c r="E4" s="523"/>
      <c r="F4" s="523"/>
      <c r="G4" s="523"/>
      <c r="H4" s="523"/>
      <c r="I4" s="523"/>
      <c r="M4" s="523"/>
      <c r="N4" s="523"/>
      <c r="O4" s="523"/>
      <c r="P4" s="523"/>
      <c r="Q4" s="523"/>
      <c r="R4" s="523"/>
      <c r="S4" s="523"/>
      <c r="T4" s="523"/>
      <c r="U4" s="523"/>
      <c r="V4" s="523"/>
      <c r="W4" s="523"/>
      <c r="X4" s="523"/>
      <c r="Y4" s="523"/>
      <c r="Z4" s="523"/>
      <c r="AA4" s="523"/>
      <c r="AB4" s="523"/>
      <c r="AC4" s="523"/>
      <c r="AD4" s="523"/>
      <c r="AE4" s="523"/>
      <c r="AF4" s="523"/>
      <c r="AG4" s="523"/>
    </row>
    <row r="5" spans="2:33" ht="15">
      <c r="B5" s="523"/>
      <c r="C5" s="63">
        <v>1</v>
      </c>
      <c r="D5" s="547" t="s">
        <v>1763</v>
      </c>
      <c r="E5" s="547"/>
      <c r="F5" s="547"/>
      <c r="G5" s="547"/>
      <c r="H5" s="547"/>
      <c r="I5" s="523"/>
      <c r="N5" s="523"/>
      <c r="O5" s="523"/>
      <c r="P5" s="523"/>
      <c r="Q5" s="523"/>
      <c r="R5" s="523"/>
      <c r="S5" s="523"/>
      <c r="T5" s="523"/>
      <c r="U5" s="523"/>
      <c r="V5" s="523"/>
      <c r="W5" s="523"/>
      <c r="X5" s="523"/>
      <c r="Y5" s="523"/>
      <c r="Z5" s="523"/>
      <c r="AA5" s="523"/>
      <c r="AB5" s="523"/>
      <c r="AC5" s="523"/>
      <c r="AD5" s="523"/>
      <c r="AE5" s="523"/>
      <c r="AF5" s="523"/>
      <c r="AG5" s="523"/>
    </row>
    <row r="6" spans="2:33" ht="15">
      <c r="B6" s="523"/>
      <c r="C6" s="63">
        <v>2</v>
      </c>
      <c r="D6" s="524" t="s">
        <v>2209</v>
      </c>
      <c r="E6" s="524"/>
      <c r="F6" s="524"/>
      <c r="G6" s="300"/>
      <c r="H6" s="529"/>
      <c r="I6" s="523"/>
      <c r="N6" s="523"/>
      <c r="O6" s="523"/>
      <c r="P6" s="523"/>
      <c r="Q6" s="523"/>
      <c r="R6" s="523"/>
      <c r="S6" s="523"/>
      <c r="T6" s="523"/>
      <c r="U6" s="523"/>
      <c r="V6" s="523"/>
      <c r="W6" s="523"/>
      <c r="X6" s="523"/>
      <c r="Y6" s="523"/>
      <c r="Z6" s="523"/>
      <c r="AA6" s="523"/>
      <c r="AB6" s="523"/>
      <c r="AC6" s="523"/>
      <c r="AD6" s="523"/>
      <c r="AE6" s="523"/>
      <c r="AF6" s="523"/>
      <c r="AG6" s="523"/>
    </row>
    <row r="7" spans="2:33" ht="15">
      <c r="B7" s="523"/>
      <c r="D7" s="525"/>
      <c r="E7" s="525"/>
      <c r="F7" s="525"/>
      <c r="G7" s="526"/>
      <c r="H7" s="523"/>
      <c r="I7" s="523"/>
      <c r="J7" s="525"/>
      <c r="K7" s="525"/>
      <c r="L7" s="525"/>
      <c r="M7" s="525"/>
      <c r="N7" s="523"/>
      <c r="O7" s="523"/>
      <c r="P7" s="523"/>
      <c r="Q7" s="523"/>
      <c r="R7" s="523"/>
      <c r="S7" s="523"/>
      <c r="T7" s="523"/>
      <c r="U7" s="523"/>
      <c r="V7" s="523"/>
      <c r="W7" s="523"/>
      <c r="X7" s="523"/>
      <c r="Y7" s="523"/>
      <c r="Z7" s="523"/>
      <c r="AA7" s="523"/>
      <c r="AB7" s="523"/>
      <c r="AC7" s="523"/>
      <c r="AD7" s="523"/>
      <c r="AE7" s="523"/>
      <c r="AF7" s="523"/>
      <c r="AG7" s="523"/>
    </row>
    <row r="8" spans="2:33" ht="15.75">
      <c r="B8" s="523"/>
      <c r="C8" s="541" t="s">
        <v>1345</v>
      </c>
      <c r="D8" s="523"/>
      <c r="E8" s="523"/>
      <c r="F8" s="525"/>
      <c r="G8" s="526"/>
      <c r="H8" s="523"/>
      <c r="I8" s="523"/>
      <c r="J8" s="525"/>
      <c r="K8" s="525"/>
      <c r="L8" s="525"/>
      <c r="M8" s="525"/>
      <c r="N8" s="523"/>
      <c r="O8" s="523"/>
      <c r="P8" s="523"/>
      <c r="Q8" s="523"/>
      <c r="R8" s="523"/>
      <c r="S8" s="523"/>
      <c r="T8" s="523"/>
      <c r="U8" s="523"/>
      <c r="V8" s="523"/>
      <c r="W8" s="523"/>
      <c r="X8" s="523"/>
      <c r="Y8" s="523"/>
      <c r="Z8" s="523"/>
      <c r="AA8" s="523"/>
      <c r="AB8" s="523"/>
      <c r="AC8" s="523"/>
      <c r="AD8" s="523"/>
      <c r="AE8" s="523"/>
      <c r="AF8" s="523"/>
      <c r="AG8" s="523"/>
    </row>
    <row r="9" spans="2:33" ht="15">
      <c r="B9" s="523"/>
      <c r="C9" s="524" t="s">
        <v>1383</v>
      </c>
      <c r="D9" s="524" t="s">
        <v>1344</v>
      </c>
      <c r="E9" s="524" t="s">
        <v>1343</v>
      </c>
      <c r="F9" s="524" t="s">
        <v>2190</v>
      </c>
      <c r="G9" s="526"/>
      <c r="H9" s="523"/>
      <c r="I9" s="523"/>
      <c r="J9" s="525"/>
      <c r="K9" s="525"/>
      <c r="L9" s="525"/>
      <c r="M9" s="525"/>
      <c r="N9" s="523"/>
      <c r="O9" s="523"/>
      <c r="P9" s="523"/>
      <c r="Q9" s="523"/>
      <c r="R9" s="523"/>
      <c r="S9" s="523"/>
      <c r="T9" s="523"/>
      <c r="U9" s="523"/>
      <c r="V9" s="523"/>
      <c r="W9" s="523"/>
      <c r="X9" s="523"/>
      <c r="Y9" s="523"/>
      <c r="Z9" s="523"/>
      <c r="AA9" s="523"/>
      <c r="AB9" s="523"/>
      <c r="AC9" s="523"/>
      <c r="AD9" s="523"/>
      <c r="AE9" s="523"/>
      <c r="AF9" s="523"/>
      <c r="AG9" s="523"/>
    </row>
    <row r="10" spans="2:33" ht="15">
      <c r="B10" s="523"/>
      <c r="C10" s="524" t="s">
        <v>1361</v>
      </c>
      <c r="D10" s="524" t="s">
        <v>1360</v>
      </c>
      <c r="E10" s="524" t="s">
        <v>1343</v>
      </c>
      <c r="F10" s="524" t="s">
        <v>2032</v>
      </c>
      <c r="G10" s="526"/>
      <c r="H10" s="523"/>
      <c r="I10" s="523"/>
      <c r="J10" s="525"/>
      <c r="K10" s="525"/>
      <c r="L10" s="525"/>
      <c r="M10" s="525"/>
      <c r="N10" s="523"/>
      <c r="O10" s="523"/>
      <c r="P10" s="523"/>
      <c r="Q10" s="523"/>
      <c r="R10" s="523"/>
      <c r="S10" s="523"/>
      <c r="T10" s="523"/>
      <c r="U10" s="523"/>
      <c r="V10" s="523"/>
      <c r="W10" s="523"/>
      <c r="X10" s="523"/>
      <c r="Y10" s="523"/>
      <c r="Z10" s="523"/>
      <c r="AA10" s="523"/>
      <c r="AB10" s="523"/>
      <c r="AC10" s="523"/>
      <c r="AD10" s="523"/>
      <c r="AE10" s="523"/>
      <c r="AF10" s="523"/>
      <c r="AG10" s="523"/>
    </row>
    <row r="11" spans="2:33" ht="15">
      <c r="B11" s="523"/>
      <c r="C11" s="525"/>
      <c r="D11" s="525"/>
      <c r="E11" s="525"/>
      <c r="F11" s="525"/>
      <c r="G11" s="526"/>
      <c r="H11" s="523"/>
      <c r="I11" s="523"/>
      <c r="J11" s="525"/>
      <c r="K11" s="525"/>
      <c r="L11" s="525"/>
      <c r="M11" s="525"/>
      <c r="N11" s="523"/>
      <c r="O11" s="523"/>
      <c r="P11" s="523"/>
      <c r="Q11" s="523"/>
      <c r="R11" s="523"/>
      <c r="S11" s="523"/>
      <c r="T11" s="523"/>
      <c r="U11" s="523"/>
      <c r="V11" s="523"/>
      <c r="W11" s="523"/>
      <c r="X11" s="523"/>
      <c r="Y11" s="523"/>
      <c r="Z11" s="523"/>
      <c r="AA11" s="523"/>
      <c r="AB11" s="523"/>
      <c r="AC11" s="523"/>
      <c r="AD11" s="523"/>
      <c r="AE11" s="523"/>
      <c r="AF11" s="523"/>
      <c r="AG11" s="523"/>
    </row>
    <row r="12" spans="2:33" ht="15">
      <c r="B12" s="523"/>
      <c r="C12" s="525"/>
      <c r="D12" s="525"/>
      <c r="E12" s="525"/>
      <c r="F12" s="525"/>
      <c r="G12" s="525"/>
      <c r="H12" s="525"/>
      <c r="I12" s="523"/>
      <c r="J12" s="525"/>
      <c r="K12" s="525"/>
      <c r="L12" s="525"/>
      <c r="M12" s="523"/>
      <c r="N12" s="523"/>
      <c r="O12" s="523"/>
      <c r="P12" s="523"/>
      <c r="Q12" s="523"/>
      <c r="R12" s="523"/>
      <c r="S12" s="523"/>
      <c r="T12" s="523"/>
      <c r="U12" s="523"/>
      <c r="V12" s="523"/>
      <c r="W12" s="523"/>
      <c r="X12" s="523"/>
      <c r="Y12" s="523"/>
      <c r="Z12" s="523"/>
      <c r="AA12" s="523"/>
      <c r="AB12" s="523"/>
      <c r="AC12" s="523"/>
      <c r="AD12" s="523"/>
      <c r="AE12" s="523"/>
      <c r="AF12" s="523"/>
      <c r="AG12" s="523"/>
    </row>
    <row r="13" spans="2:33" ht="15.75">
      <c r="B13" s="523"/>
      <c r="C13" s="541" t="s">
        <v>2192</v>
      </c>
      <c r="D13" s="524" t="s">
        <v>2189</v>
      </c>
      <c r="E13" s="525"/>
      <c r="F13" s="525"/>
      <c r="G13" s="525"/>
      <c r="H13" s="525"/>
      <c r="I13" s="523"/>
      <c r="J13" s="525"/>
      <c r="K13" s="525"/>
      <c r="L13" s="525"/>
      <c r="M13" s="523"/>
      <c r="N13" s="523"/>
      <c r="O13" s="523"/>
      <c r="P13" s="523"/>
      <c r="Q13" s="523"/>
      <c r="R13" s="523"/>
      <c r="S13" s="523"/>
      <c r="T13" s="523"/>
      <c r="U13" s="523"/>
      <c r="V13" s="523"/>
      <c r="W13" s="523"/>
      <c r="X13" s="523"/>
      <c r="Y13" s="523"/>
      <c r="Z13" s="523"/>
      <c r="AA13" s="523"/>
      <c r="AB13" s="523"/>
      <c r="AC13" s="523"/>
      <c r="AD13" s="523"/>
      <c r="AE13" s="523"/>
      <c r="AF13" s="523"/>
      <c r="AG13" s="523"/>
    </row>
    <row r="14" spans="2:33" ht="15">
      <c r="B14" s="523"/>
      <c r="C14" s="524" t="s">
        <v>2193</v>
      </c>
      <c r="D14" s="529">
        <v>2362000</v>
      </c>
      <c r="F14" s="525"/>
      <c r="G14" s="525"/>
      <c r="H14" s="525"/>
      <c r="I14" s="523"/>
      <c r="J14" s="525"/>
      <c r="K14" s="525"/>
      <c r="L14" s="525"/>
      <c r="M14" s="523"/>
      <c r="N14" s="523"/>
      <c r="O14" s="523"/>
      <c r="P14" s="523"/>
      <c r="Q14" s="523"/>
      <c r="R14" s="523"/>
      <c r="S14" s="523"/>
      <c r="T14" s="523"/>
      <c r="U14" s="523"/>
      <c r="V14" s="523"/>
      <c r="W14" s="523"/>
      <c r="X14" s="523"/>
      <c r="Y14" s="523"/>
      <c r="Z14" s="523"/>
      <c r="AA14" s="523"/>
      <c r="AB14" s="523"/>
      <c r="AC14" s="523"/>
      <c r="AD14" s="523"/>
      <c r="AE14" s="523"/>
      <c r="AF14" s="523"/>
      <c r="AG14" s="523"/>
    </row>
    <row r="15" spans="2:33" ht="15">
      <c r="B15" s="523"/>
      <c r="C15" s="524" t="s">
        <v>2194</v>
      </c>
      <c r="D15" s="524">
        <v>4254000</v>
      </c>
      <c r="F15" s="525"/>
      <c r="G15" s="526"/>
      <c r="H15" s="523"/>
      <c r="I15" s="523"/>
      <c r="J15" s="523"/>
      <c r="K15" s="523"/>
      <c r="L15" s="523"/>
      <c r="M15" s="523"/>
      <c r="N15" s="523"/>
      <c r="O15" s="523"/>
      <c r="P15" s="523"/>
      <c r="Q15" s="523"/>
      <c r="R15" s="523"/>
      <c r="S15" s="523"/>
      <c r="T15" s="523"/>
      <c r="U15" s="523"/>
      <c r="V15" s="523"/>
      <c r="W15" s="523"/>
      <c r="X15" s="523"/>
      <c r="Y15" s="523"/>
      <c r="Z15" s="523"/>
      <c r="AA15" s="523"/>
      <c r="AB15" s="523"/>
      <c r="AC15" s="523"/>
      <c r="AD15" s="523"/>
      <c r="AE15" s="523"/>
      <c r="AF15" s="523"/>
      <c r="AG15" s="523"/>
    </row>
    <row r="16" spans="2:33" ht="15">
      <c r="B16" s="523"/>
      <c r="C16" s="524"/>
      <c r="D16" s="650">
        <f>D14+D15</f>
        <v>6616000</v>
      </c>
      <c r="E16" s="525"/>
      <c r="F16" s="525"/>
      <c r="G16" s="525"/>
      <c r="H16" s="525"/>
      <c r="I16" s="523"/>
      <c r="J16" s="525"/>
      <c r="K16" s="525"/>
      <c r="L16" s="525"/>
      <c r="M16" s="523"/>
      <c r="N16" s="523"/>
      <c r="O16" s="523"/>
      <c r="P16" s="523"/>
      <c r="Q16" s="523"/>
      <c r="R16" s="523"/>
      <c r="S16" s="523"/>
      <c r="T16" s="523"/>
      <c r="U16" s="523"/>
      <c r="V16" s="523"/>
      <c r="W16" s="523"/>
      <c r="X16" s="523"/>
      <c r="Y16" s="523"/>
      <c r="Z16" s="523"/>
      <c r="AA16" s="523"/>
      <c r="AB16" s="523"/>
      <c r="AC16" s="523"/>
      <c r="AD16" s="523"/>
      <c r="AE16" s="523"/>
      <c r="AF16" s="523"/>
      <c r="AG16" s="523"/>
    </row>
    <row r="17" spans="1:33" ht="15">
      <c r="B17" s="523"/>
      <c r="C17" s="525"/>
      <c r="D17" s="525"/>
      <c r="E17" s="525"/>
      <c r="F17" s="525"/>
      <c r="G17" s="526"/>
      <c r="H17" s="523"/>
      <c r="I17" s="523"/>
      <c r="J17" s="523"/>
      <c r="K17" s="523"/>
      <c r="L17" s="523"/>
      <c r="M17" s="523"/>
      <c r="N17" s="523"/>
      <c r="O17" s="523"/>
      <c r="P17" s="523"/>
      <c r="Q17" s="523"/>
      <c r="R17" s="523"/>
      <c r="S17" s="523"/>
      <c r="T17" s="523"/>
      <c r="U17" s="523"/>
      <c r="V17" s="523"/>
      <c r="W17" s="523"/>
      <c r="X17" s="523"/>
      <c r="Y17" s="523"/>
      <c r="Z17" s="523"/>
      <c r="AA17" s="523"/>
      <c r="AB17" s="523"/>
      <c r="AC17" s="523"/>
      <c r="AD17" s="523"/>
      <c r="AE17" s="523"/>
      <c r="AF17" s="523"/>
      <c r="AG17" s="523"/>
    </row>
    <row r="18" spans="1:33" s="181" customFormat="1" ht="18.75">
      <c r="B18" s="455"/>
      <c r="C18" s="542" t="s">
        <v>1340</v>
      </c>
      <c r="D18" s="455"/>
      <c r="E18" s="455"/>
      <c r="F18" s="455"/>
      <c r="G18" s="455"/>
      <c r="H18" s="690" t="s">
        <v>1346</v>
      </c>
      <c r="I18" s="690"/>
      <c r="J18" s="455"/>
      <c r="K18" s="455"/>
      <c r="L18" s="455"/>
      <c r="M18" s="455"/>
      <c r="N18" s="455"/>
      <c r="O18" s="455"/>
      <c r="P18" s="455"/>
      <c r="Q18" s="455"/>
      <c r="R18" s="455"/>
      <c r="S18" s="455"/>
      <c r="T18" s="455"/>
      <c r="U18" s="455"/>
      <c r="V18" s="455"/>
      <c r="W18" s="455"/>
      <c r="X18" s="455"/>
      <c r="Y18" s="455"/>
      <c r="Z18" s="455"/>
      <c r="AA18" s="455"/>
      <c r="AB18" s="455"/>
      <c r="AC18" s="455"/>
      <c r="AD18" s="455"/>
      <c r="AE18" s="455"/>
      <c r="AF18" s="455"/>
      <c r="AG18" s="455"/>
    </row>
    <row r="19" spans="1:33" s="181" customFormat="1" ht="15">
      <c r="B19" s="545"/>
      <c r="C19" s="535" t="s">
        <v>25</v>
      </c>
      <c r="D19" s="535" t="s">
        <v>1337</v>
      </c>
      <c r="E19" s="535"/>
      <c r="F19" s="535" t="s">
        <v>1338</v>
      </c>
      <c r="G19" s="535" t="s">
        <v>1339</v>
      </c>
      <c r="H19" s="535" t="s">
        <v>1691</v>
      </c>
      <c r="I19" s="535" t="s">
        <v>1676</v>
      </c>
      <c r="J19" s="535" t="s">
        <v>1077</v>
      </c>
      <c r="K19" s="535" t="s">
        <v>1015</v>
      </c>
      <c r="L19" s="535" t="s">
        <v>307</v>
      </c>
      <c r="M19" s="535"/>
      <c r="N19" s="535" t="s">
        <v>307</v>
      </c>
      <c r="O19" s="535"/>
      <c r="P19" s="455"/>
      <c r="Q19" s="455"/>
      <c r="R19" s="455"/>
      <c r="S19" s="455"/>
      <c r="T19" s="455"/>
      <c r="U19" s="455"/>
      <c r="V19" s="455"/>
      <c r="W19" s="455"/>
      <c r="X19" s="455"/>
      <c r="Y19" s="455"/>
      <c r="Z19" s="455"/>
      <c r="AA19" s="455"/>
      <c r="AB19" s="455"/>
      <c r="AC19" s="455"/>
      <c r="AD19" s="455"/>
      <c r="AE19" s="455"/>
      <c r="AF19" s="455"/>
      <c r="AG19" s="455"/>
    </row>
    <row r="20" spans="1:33" s="521" customFormat="1" ht="13.5">
      <c r="B20" s="527"/>
      <c r="C20" s="528">
        <v>1</v>
      </c>
      <c r="D20" s="522" t="s">
        <v>1332</v>
      </c>
      <c r="E20" s="522"/>
      <c r="F20" s="522" t="s">
        <v>1347</v>
      </c>
      <c r="G20" s="522" t="s">
        <v>1333</v>
      </c>
      <c r="H20" s="522" t="s">
        <v>403</v>
      </c>
      <c r="I20" s="522">
        <v>0</v>
      </c>
      <c r="J20" s="522"/>
      <c r="K20" s="522">
        <v>7011448640</v>
      </c>
      <c r="L20" s="522" t="s">
        <v>1100</v>
      </c>
      <c r="M20" s="522"/>
      <c r="N20" s="522" t="s">
        <v>1439</v>
      </c>
      <c r="O20" s="522"/>
      <c r="P20" s="527"/>
      <c r="Q20" s="527"/>
      <c r="R20" s="527"/>
      <c r="S20" s="527"/>
      <c r="T20" s="527"/>
      <c r="U20" s="527"/>
      <c r="V20" s="527"/>
      <c r="W20" s="527"/>
      <c r="X20" s="527"/>
      <c r="Y20" s="527"/>
      <c r="Z20" s="527"/>
      <c r="AA20" s="527"/>
      <c r="AB20" s="527"/>
      <c r="AC20" s="527"/>
      <c r="AD20" s="527"/>
      <c r="AE20" s="527"/>
      <c r="AF20" s="527"/>
      <c r="AG20" s="527"/>
    </row>
    <row r="21" spans="1:33" s="521" customFormat="1" ht="13.5">
      <c r="B21" s="527"/>
      <c r="C21" s="528">
        <f>C20+1</f>
        <v>2</v>
      </c>
      <c r="D21" s="522" t="s">
        <v>185</v>
      </c>
      <c r="E21" s="522"/>
      <c r="F21" s="522"/>
      <c r="G21" s="522">
        <v>20488223</v>
      </c>
      <c r="H21" s="522" t="s">
        <v>403</v>
      </c>
      <c r="I21" s="522">
        <v>0</v>
      </c>
      <c r="J21" s="522"/>
      <c r="K21" s="522"/>
      <c r="L21" s="522"/>
      <c r="M21" s="522"/>
      <c r="N21" s="522"/>
      <c r="O21" s="522" t="s">
        <v>1440</v>
      </c>
      <c r="P21" s="527"/>
      <c r="Q21" s="527"/>
      <c r="R21" s="527"/>
      <c r="S21" s="527"/>
      <c r="T21" s="527"/>
      <c r="U21" s="527"/>
      <c r="V21" s="527"/>
      <c r="W21" s="527"/>
      <c r="X21" s="527"/>
      <c r="Y21" s="527"/>
      <c r="Z21" s="527"/>
      <c r="AA21" s="527"/>
      <c r="AB21" s="527"/>
      <c r="AC21" s="527"/>
      <c r="AD21" s="527"/>
      <c r="AE21" s="527"/>
      <c r="AF21" s="527"/>
      <c r="AG21" s="527"/>
    </row>
    <row r="22" spans="1:33" s="521" customFormat="1" ht="13.5">
      <c r="B22" s="527"/>
      <c r="C22" s="528">
        <f t="shared" ref="C22:C23" si="0">C21+1</f>
        <v>3</v>
      </c>
      <c r="D22" s="522" t="s">
        <v>1103</v>
      </c>
      <c r="E22" s="522"/>
      <c r="F22" s="522"/>
      <c r="G22" s="522" t="s">
        <v>1334</v>
      </c>
      <c r="H22" s="522" t="s">
        <v>403</v>
      </c>
      <c r="I22" s="522">
        <v>0</v>
      </c>
      <c r="J22" s="522"/>
      <c r="K22" s="522">
        <v>7011448640</v>
      </c>
      <c r="L22" s="522" t="s">
        <v>1335</v>
      </c>
      <c r="M22" s="522" t="s">
        <v>1101</v>
      </c>
      <c r="N22" s="522" t="s">
        <v>1357</v>
      </c>
      <c r="O22" s="522" t="s">
        <v>1102</v>
      </c>
      <c r="P22" s="527"/>
      <c r="Q22" s="527"/>
      <c r="R22" s="527"/>
      <c r="S22" s="527"/>
      <c r="T22" s="527"/>
      <c r="U22" s="527"/>
      <c r="V22" s="527"/>
      <c r="W22" s="527"/>
      <c r="X22" s="527"/>
      <c r="Y22" s="527"/>
      <c r="Z22" s="527"/>
      <c r="AA22" s="527"/>
      <c r="AB22" s="527"/>
      <c r="AC22" s="527"/>
      <c r="AD22" s="527"/>
      <c r="AE22" s="527"/>
      <c r="AF22" s="527"/>
      <c r="AG22" s="527"/>
    </row>
    <row r="23" spans="1:33" s="521" customFormat="1" ht="13.5">
      <c r="B23" s="527"/>
      <c r="C23" s="528">
        <f t="shared" si="0"/>
        <v>4</v>
      </c>
      <c r="D23" s="522" t="s">
        <v>1072</v>
      </c>
      <c r="E23" s="522"/>
      <c r="F23" s="522" t="s">
        <v>1074</v>
      </c>
      <c r="G23" s="522" t="s">
        <v>1083</v>
      </c>
      <c r="H23" s="522" t="s">
        <v>403</v>
      </c>
      <c r="I23" s="522">
        <v>0</v>
      </c>
      <c r="J23" s="522"/>
      <c r="K23" s="522">
        <v>7011448640</v>
      </c>
      <c r="L23" s="522" t="s">
        <v>1075</v>
      </c>
      <c r="M23" s="522" t="s">
        <v>1454</v>
      </c>
      <c r="N23" s="522" t="s">
        <v>1358</v>
      </c>
      <c r="O23" s="522" t="s">
        <v>1440</v>
      </c>
      <c r="P23" s="527"/>
      <c r="Q23" s="527"/>
      <c r="R23" s="527"/>
      <c r="S23" s="527"/>
      <c r="T23" s="527"/>
      <c r="U23" s="527"/>
      <c r="V23" s="527"/>
      <c r="W23" s="527"/>
      <c r="X23" s="527"/>
      <c r="Y23" s="527"/>
      <c r="Z23" s="527"/>
      <c r="AA23" s="527"/>
      <c r="AB23" s="527"/>
      <c r="AC23" s="527"/>
      <c r="AD23" s="527"/>
      <c r="AE23" s="527"/>
      <c r="AF23" s="527"/>
      <c r="AG23" s="527"/>
    </row>
    <row r="24" spans="1:33" ht="15">
      <c r="B24" s="523"/>
      <c r="C24" s="523"/>
      <c r="D24" s="523"/>
      <c r="E24" s="523"/>
      <c r="F24" s="523"/>
      <c r="G24" s="523"/>
      <c r="H24" s="523"/>
      <c r="I24" s="554">
        <f>SUM(I20:I23)</f>
        <v>0</v>
      </c>
      <c r="J24" s="523"/>
      <c r="K24" s="523"/>
      <c r="L24" s="523"/>
      <c r="M24" s="523"/>
      <c r="N24" s="523"/>
      <c r="O24" s="523"/>
      <c r="P24" s="523"/>
      <c r="Q24" s="523"/>
      <c r="R24" s="523"/>
      <c r="S24" s="523"/>
      <c r="T24" s="523"/>
      <c r="U24" s="523"/>
      <c r="V24" s="523"/>
      <c r="W24" s="523"/>
      <c r="X24" s="523"/>
      <c r="Y24" s="523"/>
      <c r="Z24" s="523"/>
      <c r="AA24" s="523"/>
      <c r="AB24" s="523"/>
      <c r="AC24" s="523"/>
      <c r="AD24" s="523"/>
      <c r="AE24" s="523"/>
      <c r="AF24" s="523"/>
      <c r="AG24" s="523"/>
    </row>
    <row r="25" spans="1:33" ht="15">
      <c r="B25" s="523"/>
      <c r="C25" s="525"/>
      <c r="D25" s="525"/>
      <c r="E25" s="525"/>
      <c r="F25" s="525"/>
      <c r="G25" s="526"/>
      <c r="H25" s="523"/>
      <c r="I25" s="523"/>
      <c r="J25" s="523"/>
      <c r="K25" s="523"/>
      <c r="L25" s="523"/>
      <c r="M25" s="523"/>
      <c r="N25" s="523"/>
      <c r="O25" s="523"/>
      <c r="P25" s="523"/>
      <c r="Q25" s="523"/>
      <c r="R25" s="523"/>
      <c r="S25" s="523"/>
      <c r="T25" s="523"/>
      <c r="U25" s="523"/>
      <c r="V25" s="523"/>
      <c r="W25" s="523"/>
      <c r="X25" s="523"/>
      <c r="Y25" s="523"/>
      <c r="Z25" s="523"/>
      <c r="AA25" s="523"/>
      <c r="AB25" s="523"/>
      <c r="AC25" s="523"/>
      <c r="AD25" s="523"/>
      <c r="AE25" s="523"/>
      <c r="AF25" s="523"/>
      <c r="AG25" s="523"/>
    </row>
    <row r="26" spans="1:33" ht="18.75">
      <c r="B26" s="523"/>
      <c r="C26" s="542" t="s">
        <v>1798</v>
      </c>
      <c r="D26" s="455" t="s">
        <v>1802</v>
      </c>
      <c r="E26" s="542" t="s">
        <v>2188</v>
      </c>
      <c r="F26" s="455" t="s">
        <v>1803</v>
      </c>
      <c r="G26" s="455"/>
      <c r="H26" s="688" t="s">
        <v>1346</v>
      </c>
      <c r="I26" s="689"/>
      <c r="J26" s="455"/>
      <c r="K26" s="455"/>
      <c r="L26" s="455"/>
      <c r="M26" s="455"/>
      <c r="N26" s="455"/>
      <c r="O26" s="523"/>
      <c r="P26" s="523"/>
      <c r="Q26" s="523"/>
      <c r="R26" s="523"/>
      <c r="S26" s="523"/>
      <c r="T26" s="523"/>
      <c r="U26" s="523"/>
      <c r="V26" s="523"/>
      <c r="W26" s="523"/>
      <c r="X26" s="523"/>
      <c r="Y26" s="523"/>
      <c r="Z26" s="523"/>
      <c r="AA26" s="523"/>
      <c r="AB26" s="523"/>
      <c r="AC26" s="523"/>
      <c r="AD26" s="523"/>
      <c r="AE26" s="523"/>
      <c r="AF26" s="523"/>
      <c r="AG26" s="523"/>
    </row>
    <row r="27" spans="1:33" ht="15">
      <c r="B27" s="523"/>
      <c r="C27" s="535" t="s">
        <v>25</v>
      </c>
      <c r="D27" s="535" t="s">
        <v>1337</v>
      </c>
      <c r="E27" s="535" t="s">
        <v>1968</v>
      </c>
      <c r="F27" s="535" t="s">
        <v>1338</v>
      </c>
      <c r="G27" s="535" t="s">
        <v>1339</v>
      </c>
      <c r="H27" s="535" t="s">
        <v>34</v>
      </c>
      <c r="I27" s="535" t="s">
        <v>2191</v>
      </c>
      <c r="J27" s="543" t="s">
        <v>1465</v>
      </c>
      <c r="K27" s="544" t="s">
        <v>1463</v>
      </c>
      <c r="L27" s="535" t="s">
        <v>307</v>
      </c>
      <c r="M27" s="535" t="s">
        <v>1808</v>
      </c>
      <c r="N27" s="535" t="s">
        <v>1166</v>
      </c>
      <c r="O27" s="523"/>
      <c r="P27" s="523"/>
      <c r="Q27" s="523"/>
      <c r="R27" s="523"/>
      <c r="S27" s="523"/>
      <c r="T27" s="523"/>
      <c r="U27" s="523"/>
      <c r="V27" s="523"/>
      <c r="W27" s="523"/>
      <c r="X27" s="523"/>
      <c r="Y27" s="523"/>
      <c r="Z27" s="523"/>
      <c r="AA27" s="523"/>
      <c r="AB27" s="523"/>
      <c r="AC27" s="523"/>
      <c r="AD27" s="523"/>
      <c r="AE27" s="523"/>
      <c r="AF27" s="523"/>
      <c r="AG27" s="523"/>
    </row>
    <row r="28" spans="1:33" ht="15">
      <c r="A28" s="523"/>
      <c r="B28" s="523"/>
      <c r="C28" s="529">
        <v>1</v>
      </c>
      <c r="D28" s="529" t="s">
        <v>1799</v>
      </c>
      <c r="E28" s="529" t="s">
        <v>2260</v>
      </c>
      <c r="F28" s="529" t="s">
        <v>2223</v>
      </c>
      <c r="G28" s="524" t="s">
        <v>1820</v>
      </c>
      <c r="H28" s="530">
        <v>400000</v>
      </c>
      <c r="I28" s="529">
        <v>408000</v>
      </c>
      <c r="J28" s="648">
        <f t="shared" ref="J28" si="1">(I28-H28)/H28</f>
        <v>0.02</v>
      </c>
      <c r="K28" s="529"/>
      <c r="L28" s="529" t="s">
        <v>1821</v>
      </c>
      <c r="M28" s="529" t="s">
        <v>1824</v>
      </c>
      <c r="N28" s="529" t="s">
        <v>1673</v>
      </c>
      <c r="O28" t="s">
        <v>1969</v>
      </c>
      <c r="S28" s="523"/>
      <c r="T28" s="523"/>
      <c r="U28" s="523"/>
      <c r="V28" s="523"/>
      <c r="W28" s="523"/>
      <c r="X28" s="523"/>
      <c r="Y28" s="523"/>
      <c r="Z28" s="523"/>
      <c r="AA28" s="523"/>
      <c r="AB28" s="523"/>
      <c r="AC28" s="523"/>
      <c r="AD28" s="523"/>
      <c r="AE28" s="523"/>
      <c r="AF28" s="523"/>
      <c r="AG28" s="523"/>
    </row>
    <row r="29" spans="1:33" ht="15">
      <c r="A29" s="523"/>
      <c r="B29" s="523"/>
      <c r="C29" s="529">
        <v>2</v>
      </c>
      <c r="D29" s="529" t="s">
        <v>1800</v>
      </c>
      <c r="E29" s="529" t="s">
        <v>2261</v>
      </c>
      <c r="F29" s="529" t="s">
        <v>2223</v>
      </c>
      <c r="G29" s="524" t="s">
        <v>1858</v>
      </c>
      <c r="H29" s="530">
        <v>300000</v>
      </c>
      <c r="I29" s="529">
        <v>360000</v>
      </c>
      <c r="J29" s="649">
        <f>(I29-H29)/H29</f>
        <v>0.2</v>
      </c>
      <c r="K29" s="529"/>
      <c r="L29" s="529" t="s">
        <v>1819</v>
      </c>
      <c r="M29" s="529" t="s">
        <v>1824</v>
      </c>
      <c r="N29" s="529" t="s">
        <v>1674</v>
      </c>
      <c r="O29" s="523"/>
      <c r="P29" s="523"/>
      <c r="Q29" s="523"/>
      <c r="R29" s="523"/>
      <c r="S29" s="523"/>
      <c r="T29" s="523"/>
      <c r="U29" s="523"/>
      <c r="V29" s="523"/>
      <c r="W29" s="523"/>
      <c r="X29" s="523"/>
      <c r="Y29" s="523"/>
      <c r="Z29" s="523"/>
      <c r="AA29" s="523"/>
      <c r="AB29" s="523"/>
      <c r="AC29" s="523"/>
      <c r="AD29" s="523"/>
      <c r="AE29" s="523"/>
      <c r="AF29" s="523"/>
      <c r="AG29" s="523"/>
    </row>
    <row r="30" spans="1:33" ht="15">
      <c r="A30" s="523"/>
      <c r="B30" s="523"/>
      <c r="C30" s="529">
        <v>3</v>
      </c>
      <c r="D30" s="529" t="s">
        <v>1801</v>
      </c>
      <c r="E30" s="529" t="s">
        <v>2262</v>
      </c>
      <c r="F30" s="529" t="s">
        <v>2223</v>
      </c>
      <c r="G30" s="524" t="s">
        <v>1822</v>
      </c>
      <c r="H30" s="530">
        <v>300000</v>
      </c>
      <c r="I30" s="529">
        <v>309000</v>
      </c>
      <c r="J30" s="648">
        <f t="shared" ref="J30:J32" si="2">(I30-H30)/H30</f>
        <v>0.03</v>
      </c>
      <c r="K30" s="63"/>
      <c r="L30" s="529" t="s">
        <v>1823</v>
      </c>
      <c r="M30" s="529" t="s">
        <v>1824</v>
      </c>
      <c r="N30" s="529" t="s">
        <v>1675</v>
      </c>
      <c r="O30" s="523"/>
      <c r="P30" s="523"/>
      <c r="Q30" s="523"/>
      <c r="R30" s="523"/>
      <c r="S30" s="523"/>
      <c r="T30" s="523"/>
      <c r="U30" s="523"/>
      <c r="V30" s="523"/>
      <c r="W30" s="523"/>
      <c r="X30" s="523"/>
      <c r="Y30" s="523"/>
      <c r="Z30" s="523"/>
      <c r="AA30" s="523"/>
      <c r="AB30" s="523"/>
      <c r="AC30" s="523"/>
      <c r="AD30" s="523"/>
      <c r="AE30" s="523"/>
      <c r="AF30" s="523"/>
      <c r="AG30" s="523"/>
    </row>
    <row r="31" spans="1:33" ht="15">
      <c r="A31" s="523"/>
      <c r="B31" s="523"/>
      <c r="C31" s="529">
        <v>4</v>
      </c>
      <c r="D31" s="529" t="s">
        <v>2266</v>
      </c>
      <c r="E31" s="524" t="s">
        <v>2263</v>
      </c>
      <c r="F31" s="524" t="s">
        <v>2264</v>
      </c>
      <c r="G31" s="524" t="s">
        <v>2275</v>
      </c>
      <c r="H31" s="530">
        <v>400000</v>
      </c>
      <c r="I31" s="530">
        <v>400000</v>
      </c>
      <c r="J31" s="648">
        <f t="shared" si="2"/>
        <v>0</v>
      </c>
      <c r="K31" s="524"/>
      <c r="L31" s="524" t="s">
        <v>2271</v>
      </c>
      <c r="M31" s="533" t="s">
        <v>2269</v>
      </c>
      <c r="N31" s="529" t="s">
        <v>2267</v>
      </c>
      <c r="O31" s="523" t="s">
        <v>2274</v>
      </c>
      <c r="P31" s="523"/>
      <c r="Q31" s="523"/>
      <c r="R31" s="523"/>
      <c r="S31" s="523"/>
      <c r="T31" s="523"/>
      <c r="U31" s="523"/>
      <c r="V31" s="523"/>
      <c r="W31" s="523"/>
      <c r="X31" s="523"/>
      <c r="Y31" s="523"/>
      <c r="Z31" s="523"/>
      <c r="AA31" s="523"/>
      <c r="AB31" s="523"/>
      <c r="AC31" s="523"/>
      <c r="AD31" s="523"/>
      <c r="AE31" s="523"/>
      <c r="AF31" s="523"/>
      <c r="AG31" s="523"/>
    </row>
    <row r="32" spans="1:33" ht="15">
      <c r="A32" s="523"/>
      <c r="B32" s="523"/>
      <c r="C32" s="529">
        <v>5</v>
      </c>
      <c r="D32" s="529" t="s">
        <v>2268</v>
      </c>
      <c r="E32" s="524" t="s">
        <v>2263</v>
      </c>
      <c r="F32" s="524" t="s">
        <v>2264</v>
      </c>
      <c r="G32" s="524" t="s">
        <v>2257</v>
      </c>
      <c r="H32" s="530">
        <v>600000</v>
      </c>
      <c r="I32" s="530">
        <v>600000</v>
      </c>
      <c r="J32" s="648">
        <f t="shared" si="2"/>
        <v>0</v>
      </c>
      <c r="K32" s="524"/>
      <c r="L32" s="524" t="s">
        <v>2272</v>
      </c>
      <c r="M32" s="524" t="s">
        <v>2258</v>
      </c>
      <c r="N32" s="524" t="s">
        <v>2270</v>
      </c>
      <c r="O32" s="523" t="s">
        <v>2273</v>
      </c>
      <c r="P32" s="523"/>
      <c r="Q32" s="523"/>
      <c r="R32" s="523"/>
      <c r="S32" s="523"/>
      <c r="T32" s="523"/>
      <c r="U32" s="523"/>
      <c r="V32" s="523"/>
      <c r="W32" s="523"/>
      <c r="X32" s="523"/>
      <c r="Y32" s="523"/>
      <c r="Z32" s="523"/>
      <c r="AA32" s="523"/>
      <c r="AB32" s="523"/>
      <c r="AC32" s="523"/>
      <c r="AD32" s="523"/>
      <c r="AE32" s="523"/>
      <c r="AF32" s="523"/>
      <c r="AG32" s="523"/>
    </row>
    <row r="33" spans="1:33" ht="15">
      <c r="A33" s="523"/>
      <c r="B33" s="523"/>
      <c r="C33" s="523"/>
      <c r="D33" s="525"/>
      <c r="E33" s="525"/>
      <c r="F33" s="525"/>
      <c r="G33" s="525"/>
      <c r="H33" s="678">
        <f>SUM(H28:H32)</f>
        <v>2000000</v>
      </c>
      <c r="I33" s="525"/>
      <c r="K33" s="525"/>
      <c r="L33" s="525"/>
      <c r="M33" s="525"/>
      <c r="N33" s="525"/>
      <c r="O33" s="523"/>
      <c r="P33" s="523"/>
      <c r="Q33" s="523"/>
      <c r="R33" s="523"/>
      <c r="S33" s="523"/>
      <c r="T33" s="523"/>
      <c r="U33" s="523"/>
      <c r="V33" s="523"/>
      <c r="W33" s="523"/>
      <c r="X33" s="523"/>
      <c r="Y33" s="523"/>
      <c r="Z33" s="523"/>
      <c r="AA33" s="523"/>
      <c r="AB33" s="523"/>
      <c r="AC33" s="523"/>
      <c r="AD33" s="523"/>
      <c r="AE33" s="523"/>
      <c r="AF33" s="523"/>
      <c r="AG33" s="523"/>
    </row>
    <row r="34" spans="1:33" ht="15">
      <c r="B34" s="523"/>
      <c r="C34" s="525"/>
      <c r="D34" s="525"/>
      <c r="E34" s="525"/>
      <c r="F34" s="525"/>
      <c r="G34" s="526"/>
      <c r="H34" s="523"/>
      <c r="I34" s="523"/>
      <c r="K34" s="523"/>
      <c r="L34" s="523"/>
      <c r="M34" s="523"/>
      <c r="N34" s="523"/>
      <c r="O34" s="523"/>
      <c r="P34" s="523"/>
      <c r="Q34" s="523"/>
      <c r="R34" s="523"/>
      <c r="S34" s="523"/>
      <c r="T34" s="523"/>
      <c r="U34" s="523"/>
      <c r="V34" s="523"/>
      <c r="W34" s="523"/>
      <c r="X34" s="523"/>
      <c r="Y34" s="523"/>
      <c r="Z34" s="523"/>
      <c r="AA34" s="523"/>
      <c r="AB34" s="523"/>
      <c r="AC34" s="523"/>
      <c r="AD34" s="523"/>
      <c r="AE34" s="523"/>
      <c r="AF34" s="523"/>
      <c r="AG34" s="523"/>
    </row>
    <row r="35" spans="1:33" ht="15">
      <c r="B35" s="523"/>
      <c r="C35" s="523"/>
      <c r="D35" s="523"/>
      <c r="E35" s="523"/>
      <c r="F35" s="523"/>
      <c r="G35" s="523"/>
      <c r="H35" s="523"/>
      <c r="I35" s="523"/>
      <c r="J35" s="523"/>
      <c r="K35" s="523"/>
      <c r="L35" s="523"/>
      <c r="M35" s="523"/>
      <c r="N35" s="523"/>
      <c r="O35" s="523"/>
      <c r="P35" s="523"/>
      <c r="Q35" s="523"/>
      <c r="R35" s="523"/>
      <c r="S35" s="523"/>
      <c r="T35" s="523"/>
      <c r="U35" s="523"/>
      <c r="V35" s="523"/>
      <c r="W35" s="523"/>
      <c r="X35" s="523"/>
      <c r="Y35" s="523"/>
      <c r="Z35" s="523"/>
      <c r="AA35" s="523"/>
      <c r="AB35" s="523"/>
      <c r="AC35" s="523"/>
      <c r="AD35" s="523"/>
      <c r="AE35" s="523"/>
      <c r="AF35" s="523"/>
      <c r="AG35" s="523"/>
    </row>
    <row r="36" spans="1:33" s="181" customFormat="1" ht="18.75">
      <c r="B36" s="455"/>
      <c r="C36" s="542" t="s">
        <v>1081</v>
      </c>
      <c r="D36" s="455" t="s">
        <v>1464</v>
      </c>
      <c r="E36" s="455"/>
      <c r="F36" s="455"/>
      <c r="G36" s="455"/>
      <c r="H36" s="455"/>
      <c r="I36" s="455"/>
      <c r="J36" s="455"/>
      <c r="K36" s="455"/>
      <c r="L36" s="455"/>
      <c r="M36" s="455"/>
      <c r="N36" s="455"/>
      <c r="O36" s="455"/>
      <c r="P36" s="455"/>
      <c r="Q36" s="455"/>
      <c r="R36" s="455"/>
      <c r="S36" s="455"/>
      <c r="T36" s="455"/>
      <c r="U36" s="455"/>
      <c r="V36" s="455"/>
      <c r="W36" s="455"/>
      <c r="X36" s="455"/>
      <c r="Y36" s="455"/>
      <c r="Z36" s="455"/>
      <c r="AA36" s="455"/>
      <c r="AB36" s="455"/>
      <c r="AC36" s="455"/>
      <c r="AD36" s="455"/>
      <c r="AE36" s="455"/>
      <c r="AF36" s="455"/>
      <c r="AG36" s="455"/>
    </row>
    <row r="37" spans="1:33" s="181" customFormat="1" ht="15">
      <c r="B37" s="455"/>
      <c r="C37" s="535" t="s">
        <v>25</v>
      </c>
      <c r="D37" s="535" t="s">
        <v>1337</v>
      </c>
      <c r="E37" s="535"/>
      <c r="F37" s="535" t="s">
        <v>1338</v>
      </c>
      <c r="G37" s="535" t="s">
        <v>1339</v>
      </c>
      <c r="H37" s="535" t="s">
        <v>34</v>
      </c>
      <c r="I37" s="535" t="s">
        <v>1676</v>
      </c>
      <c r="J37" s="543" t="s">
        <v>1465</v>
      </c>
      <c r="K37" s="544" t="s">
        <v>1450</v>
      </c>
      <c r="L37" s="535" t="s">
        <v>307</v>
      </c>
      <c r="M37" s="535" t="s">
        <v>1053</v>
      </c>
      <c r="N37" s="535" t="s">
        <v>307</v>
      </c>
      <c r="O37" s="455"/>
      <c r="P37" s="455"/>
      <c r="Q37" s="455"/>
      <c r="R37" s="455"/>
      <c r="S37" s="455"/>
      <c r="T37" s="455"/>
      <c r="U37" s="455"/>
      <c r="V37" s="455"/>
      <c r="W37" s="455"/>
      <c r="X37" s="455"/>
      <c r="Y37" s="455"/>
      <c r="Z37" s="455"/>
      <c r="AA37" s="455"/>
      <c r="AB37" s="455"/>
      <c r="AC37" s="455"/>
      <c r="AD37" s="455"/>
      <c r="AE37" s="455"/>
      <c r="AF37" s="455"/>
      <c r="AG37" s="455"/>
    </row>
    <row r="38" spans="1:33" ht="15">
      <c r="B38" s="523"/>
      <c r="C38" s="522">
        <v>1</v>
      </c>
      <c r="D38" s="522" t="s">
        <v>1080</v>
      </c>
      <c r="E38" s="522"/>
      <c r="F38" s="522"/>
      <c r="G38" s="522" t="s">
        <v>714</v>
      </c>
      <c r="H38" s="522"/>
      <c r="I38" s="522" t="s">
        <v>403</v>
      </c>
      <c r="J38" s="522"/>
      <c r="K38" s="522">
        <v>7011448640</v>
      </c>
      <c r="L38" s="522"/>
      <c r="M38" s="522" t="s">
        <v>1052</v>
      </c>
      <c r="N38" s="522"/>
      <c r="O38" s="523"/>
      <c r="P38" s="523"/>
      <c r="Q38" s="523"/>
      <c r="R38" s="523"/>
      <c r="S38" s="523"/>
      <c r="T38" s="523"/>
      <c r="U38" s="523"/>
      <c r="V38" s="523"/>
      <c r="W38" s="523"/>
      <c r="X38" s="523"/>
      <c r="Y38" s="523"/>
      <c r="Z38" s="523"/>
      <c r="AA38" s="523"/>
      <c r="AB38" s="523"/>
      <c r="AC38" s="523"/>
      <c r="AD38" s="523"/>
      <c r="AE38" s="523"/>
      <c r="AF38" s="523"/>
      <c r="AG38" s="523"/>
    </row>
    <row r="39" spans="1:33" ht="15">
      <c r="B39" s="523"/>
      <c r="C39" s="522">
        <f t="shared" ref="C39:C42" si="3">C38+1</f>
        <v>2</v>
      </c>
      <c r="D39" s="522" t="s">
        <v>1079</v>
      </c>
      <c r="E39" s="522"/>
      <c r="F39" s="522"/>
      <c r="G39" s="522" t="s">
        <v>715</v>
      </c>
      <c r="H39" s="522"/>
      <c r="I39" s="522" t="s">
        <v>403</v>
      </c>
      <c r="J39" s="522"/>
      <c r="K39" s="522">
        <v>7011448640</v>
      </c>
      <c r="L39" s="522"/>
      <c r="M39" s="522" t="s">
        <v>1052</v>
      </c>
      <c r="N39" s="522"/>
      <c r="O39" s="523"/>
      <c r="P39" s="523"/>
      <c r="Q39" s="523"/>
      <c r="R39" s="523"/>
      <c r="S39" s="523"/>
      <c r="T39" s="523"/>
      <c r="U39" s="523"/>
      <c r="V39" s="523"/>
      <c r="W39" s="523"/>
      <c r="X39" s="523"/>
      <c r="Y39" s="523"/>
      <c r="Z39" s="523"/>
      <c r="AA39" s="523"/>
      <c r="AB39" s="523"/>
      <c r="AC39" s="523"/>
      <c r="AD39" s="523"/>
      <c r="AE39" s="523"/>
      <c r="AF39" s="523"/>
      <c r="AG39" s="523"/>
    </row>
    <row r="40" spans="1:33" ht="15">
      <c r="B40" s="523"/>
      <c r="C40" s="522">
        <f t="shared" si="3"/>
        <v>3</v>
      </c>
      <c r="D40" s="522" t="s">
        <v>1078</v>
      </c>
      <c r="E40" s="522"/>
      <c r="F40" s="522"/>
      <c r="G40" s="522" t="s">
        <v>1449</v>
      </c>
      <c r="H40" s="522"/>
      <c r="I40" s="522" t="s">
        <v>403</v>
      </c>
      <c r="J40" s="522"/>
      <c r="K40" s="522">
        <v>7011448640</v>
      </c>
      <c r="L40" s="522" t="s">
        <v>1379</v>
      </c>
      <c r="M40" s="522" t="s">
        <v>1052</v>
      </c>
      <c r="N40" s="522"/>
      <c r="O40" s="523"/>
      <c r="P40" s="523"/>
      <c r="Q40" s="523"/>
      <c r="R40" s="523"/>
      <c r="S40" s="523"/>
      <c r="T40" s="523"/>
      <c r="U40" s="523"/>
      <c r="V40" s="523"/>
      <c r="W40" s="523"/>
      <c r="X40" s="523"/>
      <c r="Y40" s="523"/>
      <c r="Z40" s="523"/>
      <c r="AA40" s="523"/>
      <c r="AB40" s="523"/>
      <c r="AC40" s="523"/>
      <c r="AD40" s="523"/>
      <c r="AE40" s="523"/>
      <c r="AF40" s="523"/>
      <c r="AG40" s="523"/>
    </row>
    <row r="41" spans="1:33" ht="15">
      <c r="B41" s="523"/>
      <c r="C41" s="522">
        <f t="shared" si="3"/>
        <v>4</v>
      </c>
      <c r="D41" s="522" t="s">
        <v>1007</v>
      </c>
      <c r="E41" s="522"/>
      <c r="F41" s="522"/>
      <c r="G41" s="522" t="s">
        <v>1447</v>
      </c>
      <c r="H41" s="522"/>
      <c r="I41" s="522" t="s">
        <v>403</v>
      </c>
      <c r="J41" s="522"/>
      <c r="K41" s="522">
        <v>7011448640</v>
      </c>
      <c r="L41" s="522"/>
      <c r="M41" s="522" t="s">
        <v>1092</v>
      </c>
      <c r="N41" s="522"/>
      <c r="O41" s="523"/>
      <c r="P41" s="523"/>
      <c r="Q41" s="523"/>
      <c r="R41" s="523"/>
      <c r="S41" s="523"/>
      <c r="T41" s="523"/>
      <c r="U41" s="523"/>
      <c r="V41" s="523"/>
      <c r="W41" s="523"/>
      <c r="X41" s="523"/>
      <c r="Y41" s="523"/>
      <c r="Z41" s="523"/>
      <c r="AA41" s="523"/>
      <c r="AB41" s="523"/>
      <c r="AC41" s="523"/>
      <c r="AD41" s="523"/>
      <c r="AE41" s="523"/>
      <c r="AF41" s="523"/>
      <c r="AG41" s="523"/>
    </row>
    <row r="42" spans="1:33" ht="15">
      <c r="B42" s="523"/>
      <c r="C42" s="522">
        <f t="shared" si="3"/>
        <v>5</v>
      </c>
      <c r="D42" s="522" t="s">
        <v>1093</v>
      </c>
      <c r="E42" s="522"/>
      <c r="F42" s="522"/>
      <c r="G42" s="522" t="s">
        <v>1448</v>
      </c>
      <c r="H42" s="522"/>
      <c r="I42" s="522" t="s">
        <v>403</v>
      </c>
      <c r="J42" s="522"/>
      <c r="K42" s="522"/>
      <c r="L42" s="522"/>
      <c r="M42" s="522" t="s">
        <v>1092</v>
      </c>
      <c r="N42" s="522"/>
      <c r="O42" s="523"/>
      <c r="P42" s="523"/>
      <c r="Q42" s="523"/>
      <c r="R42" s="523"/>
      <c r="S42" s="523"/>
      <c r="T42" s="523"/>
      <c r="U42" s="523"/>
      <c r="V42" s="523"/>
      <c r="W42" s="523"/>
      <c r="X42" s="523"/>
      <c r="Y42" s="523"/>
      <c r="Z42" s="523"/>
      <c r="AA42" s="523"/>
      <c r="AB42" s="523"/>
      <c r="AC42" s="523"/>
      <c r="AD42" s="523"/>
      <c r="AE42" s="523"/>
      <c r="AF42" s="523"/>
      <c r="AG42" s="523"/>
    </row>
    <row r="43" spans="1:33" ht="15">
      <c r="B43" s="523"/>
      <c r="C43" s="529">
        <v>6</v>
      </c>
      <c r="D43" s="524" t="s">
        <v>1382</v>
      </c>
      <c r="E43" s="524"/>
      <c r="F43" s="524" t="s">
        <v>1070</v>
      </c>
      <c r="G43" s="524" t="s">
        <v>709</v>
      </c>
      <c r="H43" s="524">
        <v>1930000</v>
      </c>
      <c r="I43" s="524">
        <v>3682000</v>
      </c>
      <c r="J43" s="531">
        <f>(I43-H43)/H43</f>
        <v>0.90777202072538865</v>
      </c>
      <c r="K43" s="524">
        <v>7011448640</v>
      </c>
      <c r="L43" s="524" t="s">
        <v>1252</v>
      </c>
      <c r="M43" s="524" t="s">
        <v>1052</v>
      </c>
      <c r="N43" s="524"/>
      <c r="O43" s="523"/>
      <c r="P43" s="523"/>
      <c r="Q43" s="523"/>
      <c r="R43" s="523"/>
      <c r="S43" s="523"/>
      <c r="T43" s="523"/>
      <c r="U43" s="523"/>
      <c r="V43" s="523"/>
      <c r="W43" s="523"/>
      <c r="X43" s="523"/>
      <c r="Y43" s="523"/>
      <c r="Z43" s="523"/>
      <c r="AA43" s="523"/>
      <c r="AB43" s="523"/>
      <c r="AC43" s="523"/>
      <c r="AD43" s="523"/>
      <c r="AE43" s="523"/>
      <c r="AF43" s="523"/>
      <c r="AG43" s="523"/>
    </row>
    <row r="44" spans="1:33" ht="15">
      <c r="B44" s="523"/>
      <c r="C44" s="529">
        <f>C43+1</f>
        <v>7</v>
      </c>
      <c r="D44" s="524" t="s">
        <v>1072</v>
      </c>
      <c r="E44" s="524"/>
      <c r="F44" s="524" t="s">
        <v>1076</v>
      </c>
      <c r="G44" s="524" t="s">
        <v>700</v>
      </c>
      <c r="H44" s="524">
        <v>290000</v>
      </c>
      <c r="I44" s="524">
        <v>526150</v>
      </c>
      <c r="J44" s="531">
        <f t="shared" ref="J44:J45" si="4">(I44-H44)/H44</f>
        <v>0.81431034482758624</v>
      </c>
      <c r="K44" s="524">
        <v>7011448640</v>
      </c>
      <c r="L44" s="524" t="s">
        <v>1075</v>
      </c>
      <c r="M44" s="524" t="s">
        <v>1092</v>
      </c>
      <c r="N44" s="524"/>
      <c r="O44" s="523"/>
      <c r="P44" s="523"/>
      <c r="Q44" s="523"/>
      <c r="R44" s="523"/>
      <c r="S44" s="523"/>
      <c r="T44" s="523"/>
      <c r="U44" s="523"/>
      <c r="V44" s="523"/>
      <c r="W44" s="523"/>
      <c r="X44" s="523"/>
      <c r="Y44" s="523"/>
      <c r="Z44" s="523"/>
      <c r="AA44" s="523"/>
      <c r="AB44" s="523"/>
      <c r="AC44" s="523"/>
      <c r="AD44" s="523"/>
      <c r="AE44" s="523"/>
      <c r="AF44" s="523"/>
      <c r="AG44" s="523"/>
    </row>
    <row r="45" spans="1:33" ht="15">
      <c r="B45" s="523"/>
      <c r="C45" s="529">
        <f>C44+1</f>
        <v>8</v>
      </c>
      <c r="D45" s="524" t="s">
        <v>1381</v>
      </c>
      <c r="E45" s="524"/>
      <c r="F45" s="524"/>
      <c r="G45" s="524" t="s">
        <v>704</v>
      </c>
      <c r="H45" s="524">
        <v>260000</v>
      </c>
      <c r="I45" s="524">
        <v>437700</v>
      </c>
      <c r="J45" s="531">
        <f t="shared" si="4"/>
        <v>0.68346153846153845</v>
      </c>
      <c r="K45" s="524">
        <v>7011448640</v>
      </c>
      <c r="L45" s="524"/>
      <c r="M45" s="524" t="s">
        <v>1052</v>
      </c>
      <c r="N45" s="524"/>
      <c r="O45" s="523"/>
      <c r="P45" s="523"/>
      <c r="Q45" s="523"/>
      <c r="R45" s="523"/>
      <c r="S45" s="523"/>
      <c r="T45" s="523"/>
      <c r="U45" s="523"/>
      <c r="V45" s="523"/>
      <c r="W45" s="523"/>
      <c r="X45" s="523"/>
      <c r="Y45" s="523"/>
      <c r="Z45" s="523"/>
      <c r="AA45" s="523"/>
      <c r="AB45" s="523"/>
      <c r="AC45" s="523"/>
      <c r="AD45" s="523"/>
      <c r="AE45" s="523"/>
      <c r="AF45" s="523"/>
      <c r="AG45" s="523"/>
    </row>
    <row r="46" spans="1:33" ht="15">
      <c r="B46" s="523"/>
      <c r="C46" s="529"/>
      <c r="D46" s="529"/>
      <c r="E46" s="529"/>
      <c r="F46" s="529"/>
      <c r="G46" s="529"/>
      <c r="H46" s="678">
        <f>SUM(H43:H45)</f>
        <v>2480000</v>
      </c>
      <c r="I46" s="554">
        <f>SUM(I43:I45)</f>
        <v>4645850</v>
      </c>
      <c r="J46" s="531">
        <f>(I46-H46)/H46</f>
        <v>0.87332661290322577</v>
      </c>
      <c r="K46" s="529"/>
      <c r="L46" s="529"/>
      <c r="M46" s="529"/>
      <c r="N46" s="529"/>
      <c r="O46" s="523"/>
      <c r="P46" s="523"/>
      <c r="Q46" s="523"/>
      <c r="R46" s="523"/>
      <c r="S46" s="523"/>
      <c r="T46" s="523"/>
      <c r="U46" s="523"/>
      <c r="V46" s="523"/>
      <c r="W46" s="523"/>
      <c r="X46" s="523"/>
      <c r="Y46" s="523"/>
      <c r="Z46" s="523"/>
      <c r="AA46" s="523"/>
      <c r="AB46" s="523"/>
      <c r="AC46" s="523"/>
      <c r="AD46" s="523"/>
      <c r="AE46" s="523"/>
      <c r="AF46" s="523"/>
      <c r="AG46" s="523"/>
    </row>
    <row r="47" spans="1:33" ht="15">
      <c r="B47" s="523"/>
      <c r="C47" s="523"/>
      <c r="D47" s="523"/>
      <c r="E47" s="523"/>
      <c r="F47" s="523"/>
      <c r="G47" s="523"/>
      <c r="H47" s="523"/>
      <c r="I47" s="523"/>
      <c r="J47" s="523"/>
      <c r="K47" s="523"/>
      <c r="L47" s="523"/>
      <c r="M47" s="523"/>
      <c r="N47" s="523"/>
      <c r="O47" s="523"/>
      <c r="P47" s="523"/>
      <c r="Q47" s="523"/>
      <c r="R47" s="523"/>
      <c r="S47" s="523"/>
      <c r="T47" s="523"/>
      <c r="U47" s="523"/>
      <c r="V47" s="523"/>
      <c r="W47" s="523"/>
      <c r="X47" s="523"/>
      <c r="Y47" s="523"/>
      <c r="Z47" s="523"/>
      <c r="AA47" s="523"/>
      <c r="AB47" s="523"/>
      <c r="AC47" s="523"/>
      <c r="AD47" s="523"/>
      <c r="AE47" s="523"/>
      <c r="AF47" s="523"/>
      <c r="AG47" s="523"/>
    </row>
    <row r="48" spans="1:33" ht="15">
      <c r="B48" s="523"/>
      <c r="C48" s="523"/>
      <c r="D48" s="523"/>
      <c r="E48" s="523"/>
      <c r="F48" s="523"/>
      <c r="G48" s="523"/>
      <c r="H48" s="523"/>
      <c r="I48" s="523"/>
      <c r="J48" s="523"/>
      <c r="K48" s="523"/>
      <c r="L48" s="523"/>
      <c r="M48" s="523"/>
      <c r="N48" s="523"/>
      <c r="O48" s="523"/>
      <c r="P48" s="523"/>
      <c r="Q48" s="523"/>
      <c r="R48" s="523"/>
      <c r="S48" s="523"/>
      <c r="T48" s="523"/>
      <c r="U48" s="523"/>
      <c r="V48" s="523"/>
      <c r="W48" s="523"/>
      <c r="X48" s="523"/>
      <c r="Y48" s="523"/>
      <c r="Z48" s="523"/>
      <c r="AA48" s="523"/>
      <c r="AB48" s="523"/>
      <c r="AC48" s="523"/>
      <c r="AD48" s="523"/>
      <c r="AE48" s="523"/>
      <c r="AF48" s="523"/>
      <c r="AG48" s="523"/>
    </row>
    <row r="49" spans="2:33" ht="15">
      <c r="B49" s="523"/>
      <c r="C49" s="523"/>
      <c r="D49" s="523"/>
      <c r="E49" s="523"/>
      <c r="F49" s="523"/>
      <c r="G49" s="523"/>
      <c r="H49" s="523"/>
      <c r="I49" s="523"/>
      <c r="J49" s="523"/>
      <c r="K49" s="523"/>
      <c r="L49" s="523"/>
      <c r="M49" s="523"/>
      <c r="N49" s="523"/>
      <c r="O49" s="523"/>
      <c r="P49" s="523"/>
      <c r="Q49" s="523"/>
      <c r="R49" s="523"/>
      <c r="S49" s="523"/>
      <c r="T49" s="523"/>
      <c r="U49" s="523"/>
      <c r="V49" s="523"/>
      <c r="W49" s="523"/>
      <c r="X49" s="523"/>
      <c r="Y49" s="523"/>
      <c r="Z49" s="523"/>
      <c r="AA49" s="523"/>
      <c r="AB49" s="523"/>
      <c r="AC49" s="523"/>
      <c r="AD49" s="523"/>
      <c r="AE49" s="523"/>
      <c r="AF49" s="523"/>
      <c r="AG49" s="523"/>
    </row>
    <row r="50" spans="2:33" ht="15">
      <c r="B50" s="523"/>
      <c r="C50" s="523"/>
      <c r="D50" s="523"/>
      <c r="E50" s="523"/>
      <c r="F50" s="523"/>
      <c r="G50" s="523"/>
      <c r="H50" s="523"/>
      <c r="I50" s="523"/>
      <c r="J50" s="523"/>
      <c r="K50" s="523"/>
      <c r="L50" s="523"/>
      <c r="M50" s="523"/>
      <c r="N50" s="523"/>
      <c r="O50" s="523"/>
      <c r="P50" s="523"/>
      <c r="Q50" s="523"/>
      <c r="R50" s="523"/>
      <c r="S50" s="523"/>
      <c r="T50" s="523"/>
      <c r="U50" s="523"/>
      <c r="V50" s="523"/>
      <c r="W50" s="523"/>
      <c r="X50" s="523"/>
      <c r="Y50" s="523"/>
      <c r="Z50" s="523"/>
      <c r="AA50" s="523"/>
      <c r="AB50" s="523"/>
      <c r="AC50" s="523"/>
      <c r="AD50" s="523"/>
      <c r="AE50" s="523"/>
      <c r="AF50" s="523"/>
      <c r="AG50" s="523"/>
    </row>
    <row r="51" spans="2:33" s="181" customFormat="1" ht="18.75">
      <c r="B51" s="455"/>
      <c r="C51" s="542" t="s">
        <v>1082</v>
      </c>
      <c r="D51" s="455"/>
      <c r="E51" s="455"/>
      <c r="F51" s="455"/>
      <c r="G51" s="455"/>
      <c r="H51" s="688" t="s">
        <v>1346</v>
      </c>
      <c r="I51" s="689"/>
      <c r="J51" s="455"/>
      <c r="K51" s="455"/>
      <c r="L51" s="455"/>
      <c r="M51" s="455"/>
      <c r="N51" s="455"/>
      <c r="O51" s="455"/>
      <c r="P51" s="455"/>
      <c r="Q51" s="455"/>
      <c r="R51" s="455"/>
      <c r="S51" s="455"/>
      <c r="T51" s="455"/>
      <c r="U51" s="455"/>
      <c r="V51" s="455"/>
      <c r="W51" s="455"/>
      <c r="X51" s="455"/>
      <c r="Y51" s="455"/>
      <c r="Z51" s="455"/>
      <c r="AA51" s="455"/>
      <c r="AB51" s="455"/>
      <c r="AC51" s="455"/>
      <c r="AD51" s="455"/>
      <c r="AE51" s="455"/>
      <c r="AF51" s="455"/>
      <c r="AG51" s="455"/>
    </row>
    <row r="52" spans="2:33" s="181" customFormat="1" ht="15">
      <c r="B52" s="455"/>
      <c r="C52" s="535" t="s">
        <v>25</v>
      </c>
      <c r="D52" s="535" t="s">
        <v>1337</v>
      </c>
      <c r="E52" s="535"/>
      <c r="F52" s="535" t="s">
        <v>1338</v>
      </c>
      <c r="G52" s="535" t="s">
        <v>1339</v>
      </c>
      <c r="H52" s="535" t="s">
        <v>34</v>
      </c>
      <c r="I52" s="535" t="s">
        <v>2191</v>
      </c>
      <c r="J52" s="543" t="s">
        <v>1465</v>
      </c>
      <c r="K52" s="544" t="s">
        <v>1463</v>
      </c>
      <c r="L52" s="535" t="s">
        <v>307</v>
      </c>
      <c r="M52" s="535"/>
      <c r="N52" s="535" t="s">
        <v>1053</v>
      </c>
      <c r="O52" s="455"/>
      <c r="P52" s="455"/>
      <c r="Q52" s="455"/>
      <c r="R52" s="455"/>
      <c r="S52" s="455"/>
      <c r="T52" s="455"/>
      <c r="U52" s="455"/>
      <c r="V52" s="455"/>
      <c r="W52" s="455"/>
      <c r="X52" s="455"/>
      <c r="Y52" s="455"/>
      <c r="Z52" s="455"/>
      <c r="AA52" s="455"/>
      <c r="AB52" s="455"/>
      <c r="AC52" s="455"/>
      <c r="AD52" s="455"/>
      <c r="AE52" s="455"/>
      <c r="AF52" s="455"/>
      <c r="AG52" s="455"/>
    </row>
    <row r="53" spans="2:33" ht="15" customHeight="1">
      <c r="B53" s="523"/>
      <c r="C53" s="522">
        <v>1</v>
      </c>
      <c r="D53" s="522" t="s">
        <v>1014</v>
      </c>
      <c r="E53" s="522"/>
      <c r="F53" s="522" t="s">
        <v>501</v>
      </c>
      <c r="G53" s="522" t="s">
        <v>1085</v>
      </c>
      <c r="H53" s="522"/>
      <c r="I53" s="522">
        <v>0</v>
      </c>
      <c r="J53" s="522"/>
      <c r="K53" s="522">
        <v>7011448640</v>
      </c>
      <c r="L53" s="522"/>
      <c r="M53" s="522"/>
      <c r="N53" s="522"/>
      <c r="O53" s="523"/>
      <c r="P53" s="523"/>
      <c r="Q53" s="523"/>
      <c r="R53" s="523"/>
      <c r="S53" s="523"/>
      <c r="T53" s="523"/>
      <c r="U53" s="523"/>
      <c r="V53" s="523"/>
      <c r="W53" s="523"/>
      <c r="X53" s="523"/>
      <c r="Y53" s="523"/>
      <c r="Z53" s="523"/>
      <c r="AA53" s="523"/>
      <c r="AB53" s="523"/>
      <c r="AC53" s="523"/>
      <c r="AD53" s="523"/>
      <c r="AE53" s="523"/>
      <c r="AF53" s="523"/>
      <c r="AG53" s="523"/>
    </row>
    <row r="54" spans="2:33" ht="15">
      <c r="B54" s="523"/>
      <c r="C54" s="522">
        <f>C53+1</f>
        <v>2</v>
      </c>
      <c r="D54" s="522" t="s">
        <v>1359</v>
      </c>
      <c r="E54" s="522"/>
      <c r="F54" s="522"/>
      <c r="G54" s="522" t="s">
        <v>392</v>
      </c>
      <c r="H54" s="522"/>
      <c r="I54" s="522">
        <v>0</v>
      </c>
      <c r="J54" s="522"/>
      <c r="K54" s="522">
        <v>7011448640</v>
      </c>
      <c r="L54" s="522"/>
      <c r="M54" s="522"/>
      <c r="N54" s="522"/>
      <c r="O54" s="523"/>
      <c r="P54" s="523"/>
      <c r="Q54" s="523"/>
      <c r="R54" s="523"/>
      <c r="S54" s="523"/>
      <c r="T54" s="523"/>
      <c r="U54" s="523"/>
      <c r="V54" s="523"/>
      <c r="W54" s="523"/>
      <c r="X54" s="523"/>
      <c r="Y54" s="523"/>
      <c r="Z54" s="523"/>
      <c r="AA54" s="523"/>
      <c r="AB54" s="523"/>
      <c r="AC54" s="523"/>
      <c r="AD54" s="523"/>
      <c r="AE54" s="523"/>
      <c r="AF54" s="523"/>
      <c r="AG54" s="523"/>
    </row>
    <row r="55" spans="2:33" ht="15">
      <c r="B55" s="523"/>
      <c r="C55" s="522">
        <f t="shared" ref="C55:C67" si="5">C54+1</f>
        <v>3</v>
      </c>
      <c r="D55" s="522" t="s">
        <v>1336</v>
      </c>
      <c r="E55" s="522"/>
      <c r="F55" s="522" t="s">
        <v>1088</v>
      </c>
      <c r="G55" s="522" t="s">
        <v>1087</v>
      </c>
      <c r="H55" s="522"/>
      <c r="I55" s="522">
        <v>0</v>
      </c>
      <c r="J55" s="522"/>
      <c r="K55" s="522">
        <v>7011448640</v>
      </c>
      <c r="L55" s="522"/>
      <c r="M55" s="522"/>
      <c r="N55" s="522"/>
      <c r="O55" s="523"/>
      <c r="P55" s="523"/>
      <c r="Q55" s="523"/>
      <c r="R55" s="523"/>
      <c r="S55" s="523"/>
      <c r="T55" s="523"/>
      <c r="U55" s="523"/>
      <c r="V55" s="523"/>
      <c r="W55" s="523"/>
      <c r="X55" s="523"/>
      <c r="Y55" s="523"/>
      <c r="Z55" s="523"/>
      <c r="AA55" s="523"/>
      <c r="AB55" s="523"/>
      <c r="AC55" s="523"/>
      <c r="AD55" s="523"/>
      <c r="AE55" s="523"/>
      <c r="AF55" s="523"/>
      <c r="AG55" s="523"/>
    </row>
    <row r="56" spans="2:33" ht="15">
      <c r="B56" s="523"/>
      <c r="C56" s="522">
        <f t="shared" si="5"/>
        <v>4</v>
      </c>
      <c r="D56" s="522" t="s">
        <v>1091</v>
      </c>
      <c r="E56" s="522"/>
      <c r="F56" s="522" t="s">
        <v>627</v>
      </c>
      <c r="G56" s="522" t="s">
        <v>1084</v>
      </c>
      <c r="H56" s="522"/>
      <c r="I56" s="522">
        <v>0</v>
      </c>
      <c r="J56" s="522"/>
      <c r="K56" s="522">
        <v>7011448640</v>
      </c>
      <c r="L56" s="522"/>
      <c r="M56" s="522"/>
      <c r="N56" s="522"/>
      <c r="O56" s="523"/>
      <c r="P56" s="523"/>
      <c r="Q56" s="523"/>
      <c r="R56" s="523"/>
      <c r="S56" s="523"/>
      <c r="T56" s="523"/>
      <c r="U56" s="523"/>
      <c r="V56" s="523"/>
      <c r="W56" s="523"/>
      <c r="X56" s="523"/>
      <c r="Y56" s="523"/>
      <c r="Z56" s="523"/>
      <c r="AA56" s="523"/>
      <c r="AB56" s="523"/>
      <c r="AC56" s="523"/>
      <c r="AD56" s="523"/>
      <c r="AE56" s="523"/>
      <c r="AF56" s="523"/>
      <c r="AG56" s="523"/>
    </row>
    <row r="57" spans="2:33" ht="15">
      <c r="B57" s="523"/>
      <c r="C57" s="522">
        <f t="shared" si="5"/>
        <v>5</v>
      </c>
      <c r="D57" s="522" t="s">
        <v>1090</v>
      </c>
      <c r="E57" s="522"/>
      <c r="F57" s="522" t="s">
        <v>727</v>
      </c>
      <c r="G57" s="522" t="s">
        <v>1086</v>
      </c>
      <c r="H57" s="522"/>
      <c r="I57" s="522">
        <v>0</v>
      </c>
      <c r="J57" s="522"/>
      <c r="K57" s="522">
        <v>7011448640</v>
      </c>
      <c r="L57" s="522"/>
      <c r="M57" s="522"/>
      <c r="N57" s="522"/>
      <c r="O57" s="523"/>
      <c r="P57" s="523"/>
      <c r="Q57" s="523"/>
      <c r="R57" s="523"/>
      <c r="S57" s="523"/>
      <c r="T57" s="523"/>
      <c r="U57" s="523"/>
      <c r="V57" s="523"/>
      <c r="W57" s="523"/>
      <c r="X57" s="523"/>
      <c r="Y57" s="523"/>
      <c r="Z57" s="523"/>
      <c r="AA57" s="523"/>
      <c r="AB57" s="523"/>
      <c r="AC57" s="523"/>
      <c r="AD57" s="523"/>
      <c r="AE57" s="523"/>
      <c r="AF57" s="523"/>
      <c r="AG57" s="523"/>
    </row>
    <row r="58" spans="2:33" ht="15">
      <c r="B58" s="523"/>
      <c r="C58" s="522">
        <f t="shared" si="5"/>
        <v>6</v>
      </c>
      <c r="D58" s="522" t="s">
        <v>1089</v>
      </c>
      <c r="E58" s="522" t="s">
        <v>2013</v>
      </c>
      <c r="F58" s="522" t="s">
        <v>2256</v>
      </c>
      <c r="G58" s="522" t="s">
        <v>268</v>
      </c>
      <c r="H58" s="522"/>
      <c r="I58" s="522">
        <v>0</v>
      </c>
      <c r="J58" s="522"/>
      <c r="K58" s="522"/>
      <c r="L58" s="522"/>
      <c r="M58" s="522"/>
      <c r="N58" s="522"/>
      <c r="O58" s="523"/>
      <c r="P58" s="523"/>
      <c r="Q58" s="523"/>
      <c r="R58" s="523"/>
      <c r="S58" s="523"/>
      <c r="T58" s="523"/>
      <c r="U58" s="523"/>
      <c r="V58" s="523"/>
      <c r="W58" s="523"/>
      <c r="X58" s="523"/>
      <c r="Y58" s="523"/>
      <c r="Z58" s="523"/>
      <c r="AA58" s="523"/>
      <c r="AB58" s="523"/>
      <c r="AC58" s="523"/>
      <c r="AD58" s="523"/>
      <c r="AE58" s="523"/>
      <c r="AF58" s="523"/>
      <c r="AG58" s="523"/>
    </row>
    <row r="59" spans="2:33" ht="15">
      <c r="B59" s="533" t="s">
        <v>1373</v>
      </c>
      <c r="C59" s="522">
        <f t="shared" si="5"/>
        <v>7</v>
      </c>
      <c r="D59" s="522" t="s">
        <v>1328</v>
      </c>
      <c r="E59" s="522"/>
      <c r="F59" s="522"/>
      <c r="G59" s="522" t="s">
        <v>1329</v>
      </c>
      <c r="H59" s="522"/>
      <c r="I59" s="522">
        <v>0</v>
      </c>
      <c r="J59" s="522"/>
      <c r="K59" s="548" t="s">
        <v>1466</v>
      </c>
      <c r="L59" s="522" t="s">
        <v>1467</v>
      </c>
      <c r="M59" s="522"/>
      <c r="N59" s="522"/>
      <c r="O59" s="523"/>
      <c r="P59" s="523"/>
      <c r="Q59" s="523"/>
      <c r="R59" s="523"/>
      <c r="S59" s="523"/>
      <c r="T59" s="523"/>
      <c r="U59" s="523"/>
      <c r="V59" s="523"/>
      <c r="W59" s="523"/>
      <c r="X59" s="523"/>
      <c r="Y59" s="523"/>
      <c r="Z59" s="523"/>
      <c r="AA59" s="523"/>
      <c r="AB59" s="523"/>
      <c r="AC59" s="523"/>
      <c r="AD59" s="523"/>
      <c r="AE59" s="523"/>
      <c r="AF59" s="523"/>
      <c r="AG59" s="523"/>
    </row>
    <row r="60" spans="2:33" ht="15">
      <c r="B60" s="523"/>
      <c r="C60" s="522">
        <f t="shared" si="5"/>
        <v>8</v>
      </c>
      <c r="D60" s="522" t="s">
        <v>1442</v>
      </c>
      <c r="E60" s="522"/>
      <c r="F60" s="522"/>
      <c r="G60" s="546">
        <v>1017714175</v>
      </c>
      <c r="H60" s="522"/>
      <c r="I60" s="522">
        <v>0</v>
      </c>
      <c r="J60" s="522"/>
      <c r="K60" s="522"/>
      <c r="L60" s="522" t="s">
        <v>1453</v>
      </c>
      <c r="M60" s="522" t="s">
        <v>1468</v>
      </c>
      <c r="N60" s="522"/>
      <c r="O60" s="523"/>
      <c r="P60" s="523"/>
      <c r="Q60" s="523"/>
      <c r="R60" s="523"/>
      <c r="S60" s="523"/>
      <c r="T60" s="523"/>
      <c r="U60" s="523"/>
      <c r="V60" s="523"/>
      <c r="W60" s="523"/>
      <c r="X60" s="523"/>
      <c r="Y60" s="523"/>
      <c r="Z60" s="523"/>
      <c r="AA60" s="523"/>
      <c r="AB60" s="523"/>
      <c r="AC60" s="523"/>
      <c r="AD60" s="523"/>
      <c r="AE60" s="523"/>
      <c r="AF60" s="523"/>
      <c r="AG60" s="523"/>
    </row>
    <row r="61" spans="2:33" ht="15">
      <c r="B61" s="523"/>
      <c r="C61" s="522">
        <f t="shared" si="5"/>
        <v>9</v>
      </c>
      <c r="D61" s="522" t="s">
        <v>1451</v>
      </c>
      <c r="E61" s="522"/>
      <c r="F61" s="522"/>
      <c r="G61" s="546">
        <v>5334524</v>
      </c>
      <c r="H61" s="522"/>
      <c r="I61" s="522">
        <v>0</v>
      </c>
      <c r="J61" s="522"/>
      <c r="K61" s="522"/>
      <c r="L61" s="522"/>
      <c r="M61" s="522"/>
      <c r="N61" s="522"/>
      <c r="O61" s="523"/>
      <c r="P61" s="523"/>
      <c r="Q61" s="523"/>
      <c r="R61" s="523"/>
      <c r="S61" s="523"/>
      <c r="T61" s="523"/>
      <c r="U61" s="523"/>
      <c r="V61" s="523"/>
      <c r="W61" s="523"/>
      <c r="X61" s="523"/>
      <c r="Y61" s="523"/>
      <c r="Z61" s="523"/>
      <c r="AA61" s="523"/>
      <c r="AB61" s="523"/>
      <c r="AC61" s="523"/>
      <c r="AD61" s="523"/>
      <c r="AE61" s="523"/>
      <c r="AF61" s="523"/>
      <c r="AG61" s="523"/>
    </row>
    <row r="62" spans="2:33" ht="15">
      <c r="B62" s="523"/>
      <c r="C62" s="522">
        <f t="shared" si="5"/>
        <v>10</v>
      </c>
      <c r="D62" s="522" t="s">
        <v>52</v>
      </c>
      <c r="E62" s="522"/>
      <c r="F62" s="522"/>
      <c r="G62" s="546" t="s">
        <v>1441</v>
      </c>
      <c r="H62" s="522"/>
      <c r="I62" s="522">
        <v>0</v>
      </c>
      <c r="J62" s="522"/>
      <c r="K62" s="522"/>
      <c r="L62" s="522" t="s">
        <v>1453</v>
      </c>
      <c r="M62" s="522" t="s">
        <v>1445</v>
      </c>
      <c r="N62" s="522"/>
      <c r="O62" s="523"/>
      <c r="P62" s="523"/>
      <c r="Q62" s="523"/>
      <c r="R62" s="523"/>
      <c r="S62" s="523"/>
      <c r="T62" s="523"/>
      <c r="U62" s="523"/>
      <c r="V62" s="523"/>
      <c r="W62" s="523"/>
      <c r="X62" s="523"/>
      <c r="Y62" s="523"/>
      <c r="Z62" s="523"/>
      <c r="AA62" s="523"/>
      <c r="AB62" s="523"/>
      <c r="AC62" s="523"/>
      <c r="AD62" s="523"/>
      <c r="AE62" s="523"/>
      <c r="AF62" s="523"/>
      <c r="AG62" s="523"/>
    </row>
    <row r="63" spans="2:33" ht="15">
      <c r="B63" s="523"/>
      <c r="C63" s="522">
        <f t="shared" si="5"/>
        <v>11</v>
      </c>
      <c r="D63" s="522" t="s">
        <v>1234</v>
      </c>
      <c r="E63" s="522"/>
      <c r="F63" s="522"/>
      <c r="G63" s="546">
        <v>20488223</v>
      </c>
      <c r="H63" s="522"/>
      <c r="I63" s="522">
        <v>0</v>
      </c>
      <c r="J63" s="522"/>
      <c r="K63" s="522"/>
      <c r="L63" s="522" t="s">
        <v>1453</v>
      </c>
      <c r="M63" s="522"/>
      <c r="N63" s="522"/>
      <c r="O63" s="523"/>
      <c r="P63" s="523"/>
      <c r="Q63" s="523"/>
      <c r="R63" s="523"/>
      <c r="S63" s="523"/>
      <c r="T63" s="523"/>
      <c r="U63" s="523"/>
      <c r="V63" s="523"/>
      <c r="W63" s="523"/>
      <c r="X63" s="523"/>
      <c r="Y63" s="523"/>
      <c r="Z63" s="523"/>
      <c r="AA63" s="523"/>
      <c r="AB63" s="523"/>
      <c r="AC63" s="523"/>
      <c r="AD63" s="523"/>
      <c r="AE63" s="523"/>
      <c r="AF63" s="523"/>
      <c r="AG63" s="523"/>
    </row>
    <row r="64" spans="2:33" ht="15">
      <c r="B64" s="523"/>
      <c r="C64" s="522">
        <f t="shared" si="5"/>
        <v>12</v>
      </c>
      <c r="D64" s="522" t="s">
        <v>1331</v>
      </c>
      <c r="E64" s="522" t="s">
        <v>2013</v>
      </c>
      <c r="F64" s="522"/>
      <c r="G64" s="546" t="s">
        <v>1330</v>
      </c>
      <c r="H64" s="522"/>
      <c r="I64" s="522">
        <v>0</v>
      </c>
      <c r="J64" s="522"/>
      <c r="K64" s="522">
        <v>7011448640</v>
      </c>
      <c r="L64" s="522"/>
      <c r="O64" s="523"/>
      <c r="P64" s="523"/>
      <c r="Q64" s="523"/>
      <c r="R64" s="523"/>
      <c r="S64" s="523"/>
      <c r="T64" s="523"/>
      <c r="U64" s="523"/>
      <c r="V64" s="523"/>
      <c r="W64" s="523"/>
      <c r="X64" s="523"/>
      <c r="Y64" s="523"/>
      <c r="Z64" s="523"/>
      <c r="AA64" s="523"/>
      <c r="AB64" s="523"/>
      <c r="AC64" s="523"/>
      <c r="AD64" s="523"/>
      <c r="AE64" s="523"/>
      <c r="AF64" s="523"/>
      <c r="AG64" s="523"/>
    </row>
    <row r="65" spans="1:33" ht="15">
      <c r="B65" s="523"/>
      <c r="C65" s="522">
        <f t="shared" si="5"/>
        <v>13</v>
      </c>
      <c r="D65" s="522" t="s">
        <v>1443</v>
      </c>
      <c r="E65" s="522"/>
      <c r="F65" s="522"/>
      <c r="G65" s="546">
        <v>1000083715</v>
      </c>
      <c r="H65" s="522"/>
      <c r="I65" s="522">
        <v>0</v>
      </c>
      <c r="J65" s="522"/>
      <c r="K65" s="522"/>
      <c r="L65" s="522" t="s">
        <v>1453</v>
      </c>
      <c r="M65" s="522"/>
      <c r="N65" s="522"/>
      <c r="O65" s="523"/>
      <c r="P65" s="523"/>
      <c r="Q65" s="523"/>
      <c r="R65" s="523"/>
      <c r="S65" s="523"/>
      <c r="T65" s="523"/>
      <c r="U65" s="523"/>
      <c r="V65" s="523"/>
      <c r="W65" s="523"/>
      <c r="X65" s="523"/>
      <c r="Y65" s="523"/>
      <c r="Z65" s="523"/>
      <c r="AA65" s="523"/>
      <c r="AB65" s="523"/>
      <c r="AC65" s="523"/>
      <c r="AD65" s="523"/>
      <c r="AE65" s="523"/>
      <c r="AF65" s="523"/>
      <c r="AG65" s="523"/>
    </row>
    <row r="66" spans="1:33" ht="15">
      <c r="B66" s="523"/>
      <c r="C66" s="522">
        <f t="shared" si="5"/>
        <v>14</v>
      </c>
      <c r="D66" s="522" t="s">
        <v>1444</v>
      </c>
      <c r="E66" s="522"/>
      <c r="F66" s="522"/>
      <c r="G66" s="546" t="s">
        <v>56</v>
      </c>
      <c r="H66" s="522"/>
      <c r="I66" s="522">
        <v>0</v>
      </c>
      <c r="J66" s="522"/>
      <c r="K66" s="522"/>
      <c r="L66" s="522" t="s">
        <v>1453</v>
      </c>
      <c r="M66" s="522"/>
      <c r="N66" s="522"/>
      <c r="O66" s="523"/>
      <c r="P66" s="523"/>
      <c r="Q66" s="523"/>
      <c r="R66" s="523"/>
      <c r="S66" s="523"/>
      <c r="T66" s="523"/>
      <c r="U66" s="523"/>
      <c r="V66" s="523"/>
      <c r="W66" s="523"/>
      <c r="X66" s="523"/>
      <c r="Y66" s="523"/>
      <c r="Z66" s="523"/>
      <c r="AA66" s="523"/>
      <c r="AB66" s="523"/>
      <c r="AC66" s="523"/>
      <c r="AD66" s="523"/>
      <c r="AE66" s="523"/>
      <c r="AF66" s="523"/>
      <c r="AG66" s="523"/>
    </row>
    <row r="67" spans="1:33" ht="15">
      <c r="B67" s="523"/>
      <c r="C67" s="522">
        <f t="shared" si="5"/>
        <v>15</v>
      </c>
      <c r="D67" s="522" t="s">
        <v>1764</v>
      </c>
      <c r="E67" s="522"/>
      <c r="F67" s="522" t="s">
        <v>1071</v>
      </c>
      <c r="G67" s="522" t="s">
        <v>1452</v>
      </c>
      <c r="H67" s="522">
        <v>875000</v>
      </c>
      <c r="I67" s="522">
        <v>1230651</v>
      </c>
      <c r="J67" s="674">
        <f>(I67-H67)/H67</f>
        <v>0.40645828571428572</v>
      </c>
      <c r="K67" s="522">
        <v>7011448640</v>
      </c>
      <c r="L67" s="522" t="s">
        <v>2259</v>
      </c>
      <c r="M67" s="522" t="s">
        <v>1507</v>
      </c>
      <c r="N67" s="522"/>
      <c r="O67" s="523"/>
      <c r="P67" s="523"/>
      <c r="Q67" s="523"/>
      <c r="R67" s="523"/>
      <c r="S67" s="523"/>
      <c r="T67" s="523"/>
      <c r="U67" s="523"/>
      <c r="V67" s="523"/>
      <c r="W67" s="523"/>
      <c r="X67" s="523"/>
      <c r="Y67" s="523"/>
      <c r="Z67" s="523"/>
      <c r="AA67" s="523"/>
      <c r="AB67" s="523"/>
      <c r="AC67" s="523"/>
      <c r="AD67" s="523"/>
      <c r="AE67" s="523"/>
      <c r="AF67" s="523"/>
      <c r="AG67" s="523"/>
    </row>
    <row r="68" spans="1:33" ht="15">
      <c r="B68" s="523"/>
      <c r="C68" s="523"/>
      <c r="D68" s="525"/>
      <c r="E68" s="525"/>
      <c r="F68" s="525"/>
      <c r="K68" s="523"/>
      <c r="L68" s="486"/>
      <c r="M68" s="525"/>
      <c r="N68" s="525"/>
      <c r="O68" s="523"/>
      <c r="P68" s="523"/>
      <c r="Q68" s="523"/>
      <c r="R68" s="523"/>
      <c r="S68" s="523"/>
      <c r="T68" s="523"/>
      <c r="U68" s="523"/>
      <c r="V68" s="523"/>
      <c r="W68" s="523"/>
      <c r="X68" s="523"/>
      <c r="Y68" s="523"/>
      <c r="Z68" s="523"/>
      <c r="AA68" s="523"/>
      <c r="AB68" s="523"/>
      <c r="AC68" s="523"/>
      <c r="AD68" s="523"/>
      <c r="AE68" s="523"/>
      <c r="AF68" s="523"/>
      <c r="AG68" s="523"/>
    </row>
    <row r="69" spans="1:33" ht="15">
      <c r="B69" s="523"/>
      <c r="C69" s="523"/>
      <c r="D69" s="523"/>
      <c r="E69" s="523"/>
      <c r="F69" s="525"/>
      <c r="G69" s="678" t="s">
        <v>2265</v>
      </c>
      <c r="H69" s="679">
        <f>H33+H46</f>
        <v>4480000</v>
      </c>
      <c r="I69" s="63"/>
      <c r="K69" s="523"/>
      <c r="L69" s="486"/>
      <c r="M69" s="525"/>
      <c r="N69" s="525"/>
      <c r="O69" s="523"/>
      <c r="P69" s="523"/>
      <c r="Q69" s="523"/>
      <c r="R69" s="523"/>
      <c r="S69" s="523"/>
      <c r="T69" s="523"/>
      <c r="U69" s="523"/>
      <c r="V69" s="523"/>
      <c r="W69" s="523"/>
      <c r="X69" s="523"/>
      <c r="Y69" s="523"/>
      <c r="Z69" s="523"/>
      <c r="AA69" s="523"/>
      <c r="AB69" s="523"/>
      <c r="AC69" s="523"/>
      <c r="AD69" s="523"/>
      <c r="AE69" s="523"/>
      <c r="AF69" s="523"/>
      <c r="AG69" s="523"/>
    </row>
    <row r="70" spans="1:33" ht="15">
      <c r="B70" s="523"/>
      <c r="C70" s="523"/>
      <c r="D70" s="523"/>
      <c r="E70" s="523"/>
      <c r="F70" s="523"/>
      <c r="G70" s="523"/>
      <c r="H70" s="523"/>
      <c r="I70" s="523"/>
      <c r="J70" s="523"/>
      <c r="K70" s="523"/>
      <c r="L70" s="523"/>
      <c r="M70" s="523"/>
      <c r="N70" s="523"/>
      <c r="O70" s="523"/>
      <c r="P70" s="523"/>
      <c r="Q70" s="523"/>
      <c r="R70" s="523"/>
      <c r="S70" s="523"/>
      <c r="T70" s="523"/>
      <c r="U70" s="523"/>
      <c r="V70" s="523"/>
      <c r="W70" s="523"/>
      <c r="X70" s="523"/>
      <c r="Y70" s="523"/>
      <c r="Z70" s="523"/>
      <c r="AA70" s="523"/>
      <c r="AB70" s="523"/>
      <c r="AC70" s="523"/>
      <c r="AD70" s="523"/>
      <c r="AE70" s="523"/>
      <c r="AF70" s="523"/>
      <c r="AG70" s="523"/>
    </row>
    <row r="71" spans="1:33" ht="15">
      <c r="A71" s="523"/>
      <c r="B71" s="523"/>
      <c r="C71" s="523"/>
      <c r="D71" s="523"/>
      <c r="E71" s="523"/>
      <c r="F71" s="523"/>
      <c r="G71" s="523"/>
      <c r="H71" s="523"/>
      <c r="I71" s="523"/>
      <c r="J71" s="523"/>
      <c r="K71" s="523"/>
      <c r="S71" s="523"/>
      <c r="T71" s="523"/>
      <c r="U71" s="523"/>
      <c r="V71" s="523"/>
      <c r="W71" s="523"/>
      <c r="X71" s="523"/>
      <c r="Y71" s="523"/>
      <c r="Z71" s="523"/>
      <c r="AA71" s="523"/>
      <c r="AB71" s="523"/>
      <c r="AC71" s="523"/>
      <c r="AD71" s="523"/>
      <c r="AE71" s="523"/>
      <c r="AF71" s="523"/>
      <c r="AG71" s="523"/>
    </row>
    <row r="72" spans="1:33" ht="15">
      <c r="A72" s="523"/>
      <c r="B72" s="523"/>
      <c r="C72" s="523"/>
      <c r="D72" s="523"/>
      <c r="E72" s="523"/>
      <c r="F72" s="523"/>
      <c r="G72" s="523"/>
      <c r="H72" s="523"/>
      <c r="I72" s="523"/>
      <c r="J72" s="523"/>
      <c r="K72" s="523"/>
      <c r="L72" s="523"/>
      <c r="M72" s="523"/>
      <c r="N72" s="523"/>
      <c r="O72" s="523"/>
      <c r="P72" s="523"/>
      <c r="Q72" s="523"/>
      <c r="R72" s="523"/>
      <c r="S72" s="523"/>
      <c r="T72" s="523"/>
      <c r="U72" s="523"/>
      <c r="V72" s="523"/>
      <c r="W72" s="523"/>
      <c r="X72" s="523"/>
      <c r="Y72" s="523"/>
      <c r="Z72" s="523"/>
      <c r="AA72" s="523"/>
      <c r="AB72" s="523"/>
      <c r="AC72" s="523"/>
      <c r="AD72" s="523"/>
      <c r="AE72" s="523"/>
      <c r="AF72" s="523"/>
      <c r="AG72" s="523"/>
    </row>
    <row r="73" spans="1:33" ht="15">
      <c r="A73" s="523"/>
      <c r="B73" s="523"/>
      <c r="C73" s="523"/>
      <c r="D73" s="523"/>
      <c r="E73" s="523"/>
      <c r="F73" s="523"/>
      <c r="G73" s="523"/>
      <c r="H73" s="523"/>
      <c r="I73" s="523"/>
      <c r="J73" s="523"/>
      <c r="K73" s="523"/>
      <c r="L73" s="523"/>
      <c r="M73" s="523"/>
      <c r="N73" s="523"/>
      <c r="O73" s="523"/>
      <c r="P73" s="523"/>
      <c r="Q73" s="523"/>
      <c r="R73" s="523"/>
      <c r="S73" s="523"/>
      <c r="T73" s="523"/>
      <c r="U73" s="523"/>
      <c r="V73" s="523"/>
      <c r="W73" s="523"/>
      <c r="X73" s="523"/>
      <c r="Y73" s="523"/>
      <c r="Z73" s="523"/>
      <c r="AA73" s="523"/>
      <c r="AB73" s="523"/>
      <c r="AC73" s="523"/>
      <c r="AD73" s="523"/>
      <c r="AE73" s="523"/>
      <c r="AF73" s="523"/>
      <c r="AG73" s="523"/>
    </row>
    <row r="74" spans="1:33" ht="15">
      <c r="A74" s="523"/>
      <c r="B74" s="523"/>
      <c r="C74" s="523"/>
      <c r="D74" s="523"/>
      <c r="E74" s="523"/>
      <c r="F74" s="523"/>
      <c r="G74" s="523"/>
      <c r="H74" s="523"/>
      <c r="I74" s="523"/>
      <c r="J74" s="523"/>
      <c r="K74" s="523"/>
      <c r="L74" s="523"/>
      <c r="M74" s="523"/>
      <c r="N74" s="523"/>
      <c r="O74" s="523"/>
      <c r="P74" s="523"/>
      <c r="Q74" s="523"/>
      <c r="R74" s="523"/>
      <c r="S74" s="523"/>
      <c r="T74" s="523"/>
      <c r="U74" s="523"/>
      <c r="V74" s="523"/>
      <c r="W74" s="523"/>
      <c r="X74" s="523"/>
      <c r="Y74" s="523"/>
      <c r="Z74" s="523"/>
      <c r="AA74" s="523"/>
      <c r="AB74" s="523"/>
      <c r="AC74" s="523"/>
      <c r="AD74" s="523"/>
      <c r="AE74" s="523"/>
      <c r="AF74" s="523"/>
      <c r="AG74" s="523"/>
    </row>
    <row r="75" spans="1:33" ht="15">
      <c r="B75" s="523"/>
      <c r="C75" s="523"/>
      <c r="D75" s="523"/>
      <c r="E75" s="523"/>
      <c r="F75" s="523"/>
      <c r="I75" s="523"/>
      <c r="J75" s="523"/>
      <c r="K75" s="523"/>
      <c r="L75" s="523"/>
      <c r="M75" s="523"/>
      <c r="N75" s="523"/>
      <c r="O75" s="523"/>
      <c r="P75" s="523"/>
      <c r="Q75" s="523"/>
      <c r="R75" s="523"/>
      <c r="S75" s="523"/>
      <c r="T75" s="523"/>
      <c r="U75" s="523"/>
      <c r="V75" s="523"/>
      <c r="W75" s="523"/>
      <c r="X75" s="523"/>
      <c r="Y75" s="523"/>
      <c r="Z75" s="523"/>
      <c r="AA75" s="523"/>
      <c r="AB75" s="523"/>
      <c r="AC75" s="523"/>
      <c r="AD75" s="523"/>
      <c r="AE75" s="523"/>
      <c r="AF75" s="523"/>
      <c r="AG75" s="523"/>
    </row>
    <row r="76" spans="1:33" ht="15">
      <c r="B76" s="523"/>
      <c r="C76" s="523"/>
      <c r="D76" s="523"/>
      <c r="E76" s="523"/>
      <c r="F76" s="523"/>
      <c r="G76" s="523"/>
      <c r="I76" s="523"/>
      <c r="J76" s="523"/>
      <c r="K76" s="523"/>
      <c r="L76" s="523"/>
      <c r="M76" s="523"/>
      <c r="N76" s="523"/>
      <c r="O76" s="523"/>
      <c r="P76" s="523"/>
      <c r="Q76" s="523"/>
      <c r="R76" s="523"/>
      <c r="S76" s="523"/>
      <c r="T76" s="523"/>
      <c r="U76" s="523"/>
      <c r="V76" s="523"/>
      <c r="W76" s="523"/>
      <c r="X76" s="523"/>
      <c r="Y76" s="523"/>
      <c r="Z76" s="523"/>
      <c r="AA76" s="523"/>
      <c r="AB76" s="523"/>
      <c r="AC76" s="523"/>
      <c r="AD76" s="523"/>
      <c r="AE76" s="523"/>
      <c r="AF76" s="523"/>
      <c r="AG76" s="523"/>
    </row>
    <row r="77" spans="1:33" ht="15">
      <c r="B77" s="523"/>
      <c r="C77" s="688" t="s">
        <v>1346</v>
      </c>
      <c r="D77" s="689"/>
      <c r="E77" s="532" t="s">
        <v>1975</v>
      </c>
      <c r="F77" s="523"/>
      <c r="G77" s="523"/>
      <c r="H77" s="523"/>
      <c r="I77" s="523"/>
      <c r="J77" s="523"/>
      <c r="K77" s="523"/>
      <c r="L77" s="523"/>
      <c r="M77" s="523"/>
      <c r="N77" s="523"/>
      <c r="O77" s="523"/>
      <c r="P77" s="523"/>
      <c r="Q77" s="523"/>
      <c r="R77" s="523"/>
      <c r="S77" s="523"/>
      <c r="T77" s="523"/>
      <c r="U77" s="523"/>
      <c r="V77" s="523"/>
      <c r="W77" s="523"/>
      <c r="X77" s="523"/>
      <c r="Y77" s="523"/>
      <c r="Z77" s="523"/>
      <c r="AA77" s="523"/>
      <c r="AB77" s="523"/>
      <c r="AC77" s="523"/>
      <c r="AD77" s="523"/>
      <c r="AE77" s="523"/>
      <c r="AF77" s="523"/>
      <c r="AG77" s="523"/>
    </row>
    <row r="78" spans="1:33" ht="15">
      <c r="B78" s="523"/>
      <c r="C78" s="523"/>
      <c r="D78" s="523"/>
      <c r="E78" s="523"/>
      <c r="F78" s="523"/>
      <c r="G78" s="523"/>
      <c r="H78" s="523"/>
      <c r="I78" s="523"/>
      <c r="J78" s="523"/>
      <c r="K78" s="523"/>
      <c r="L78" s="523"/>
      <c r="M78" s="523"/>
      <c r="N78" s="523"/>
      <c r="O78" s="523"/>
      <c r="P78" s="523"/>
      <c r="Q78" s="523"/>
      <c r="R78" s="523"/>
      <c r="S78" s="523"/>
      <c r="T78" s="523"/>
      <c r="U78" s="523"/>
      <c r="V78" s="523"/>
      <c r="W78" s="523"/>
      <c r="X78" s="523"/>
      <c r="Y78" s="523"/>
      <c r="Z78" s="523"/>
      <c r="AA78" s="523"/>
      <c r="AB78" s="523"/>
      <c r="AC78" s="523"/>
      <c r="AD78" s="523"/>
      <c r="AE78" s="523"/>
      <c r="AF78" s="523"/>
      <c r="AG78" s="523"/>
    </row>
    <row r="79" spans="1:33" ht="12.75" customHeight="1">
      <c r="B79" s="523"/>
      <c r="C79" s="523"/>
      <c r="D79" s="523"/>
      <c r="E79" s="523"/>
      <c r="F79" s="523"/>
      <c r="G79" s="523"/>
      <c r="H79" s="523"/>
      <c r="I79" s="523"/>
      <c r="J79" s="523"/>
      <c r="K79" s="523"/>
      <c r="L79" s="523"/>
      <c r="M79" s="523"/>
      <c r="N79" s="523"/>
      <c r="O79" s="523"/>
      <c r="P79" s="523"/>
      <c r="Q79" s="523"/>
      <c r="R79" s="523"/>
      <c r="S79" s="523"/>
      <c r="T79" s="523"/>
      <c r="U79" s="523"/>
      <c r="V79" s="523"/>
      <c r="W79" s="523"/>
      <c r="X79" s="523"/>
      <c r="Y79" s="523"/>
      <c r="Z79" s="523"/>
      <c r="AA79" s="523"/>
      <c r="AB79" s="523"/>
      <c r="AC79" s="523"/>
      <c r="AD79" s="523"/>
      <c r="AE79" s="523"/>
      <c r="AF79" s="523"/>
      <c r="AG79" s="523"/>
    </row>
    <row r="80" spans="1:33" s="181" customFormat="1" ht="19.5" customHeight="1">
      <c r="B80" s="455"/>
      <c r="C80" s="542" t="s">
        <v>1974</v>
      </c>
      <c r="D80" s="455"/>
      <c r="E80" s="455"/>
      <c r="F80" s="455"/>
      <c r="G80" s="455"/>
      <c r="H80" s="523"/>
      <c r="I80" s="523"/>
      <c r="J80" s="455"/>
      <c r="K80" s="455"/>
      <c r="L80" s="455"/>
      <c r="M80" s="455"/>
      <c r="N80" s="455"/>
      <c r="O80" s="455"/>
      <c r="P80" s="455"/>
      <c r="Q80" s="455"/>
      <c r="R80" s="455"/>
      <c r="S80" s="455"/>
      <c r="T80" s="455"/>
      <c r="U80" s="455"/>
      <c r="V80" s="455"/>
      <c r="W80" s="455"/>
      <c r="X80" s="455"/>
      <c r="Y80" s="455"/>
      <c r="Z80" s="455"/>
      <c r="AA80" s="455"/>
      <c r="AB80" s="455"/>
      <c r="AC80" s="455"/>
      <c r="AD80" s="455"/>
      <c r="AE80" s="455"/>
      <c r="AF80" s="455"/>
      <c r="AG80" s="455"/>
    </row>
    <row r="81" spans="1:33" s="181" customFormat="1" ht="15">
      <c r="B81" s="455"/>
      <c r="C81" s="535" t="s">
        <v>25</v>
      </c>
      <c r="D81" s="535" t="s">
        <v>1337</v>
      </c>
      <c r="E81" s="535"/>
      <c r="F81" s="535" t="s">
        <v>1338</v>
      </c>
      <c r="G81" s="535" t="s">
        <v>1339</v>
      </c>
      <c r="H81" s="535" t="s">
        <v>34</v>
      </c>
      <c r="I81" s="535" t="s">
        <v>1676</v>
      </c>
      <c r="J81" s="543" t="s">
        <v>1465</v>
      </c>
      <c r="K81" s="544" t="s">
        <v>1463</v>
      </c>
      <c r="L81" s="535" t="s">
        <v>307</v>
      </c>
      <c r="M81" s="535"/>
      <c r="N81" s="535" t="s">
        <v>1053</v>
      </c>
      <c r="O81" s="455"/>
      <c r="P81" s="455"/>
      <c r="Q81" s="455"/>
      <c r="R81" s="455"/>
      <c r="S81" s="455"/>
      <c r="T81" s="455"/>
      <c r="U81" s="455"/>
      <c r="V81" s="455"/>
      <c r="W81" s="455"/>
      <c r="X81" s="455"/>
      <c r="Y81" s="455"/>
      <c r="Z81" s="455"/>
      <c r="AA81" s="455"/>
      <c r="AB81" s="455"/>
      <c r="AC81" s="455"/>
      <c r="AD81" s="455"/>
      <c r="AE81" s="455"/>
      <c r="AF81" s="455"/>
      <c r="AG81" s="455"/>
    </row>
    <row r="82" spans="1:33" s="181" customFormat="1" ht="15">
      <c r="B82" s="455"/>
      <c r="C82" s="202">
        <v>1</v>
      </c>
      <c r="D82" s="202" t="s">
        <v>688</v>
      </c>
      <c r="E82" s="202" t="s">
        <v>58</v>
      </c>
      <c r="F82" s="202"/>
      <c r="G82" s="202"/>
      <c r="H82" s="202">
        <v>100000</v>
      </c>
      <c r="I82" s="202">
        <v>113197</v>
      </c>
      <c r="J82" s="596">
        <v>0.13</v>
      </c>
      <c r="K82" s="202"/>
      <c r="L82" s="202"/>
      <c r="M82" s="202"/>
      <c r="N82" s="202"/>
      <c r="O82" s="455"/>
      <c r="P82" s="455"/>
      <c r="Q82" s="455"/>
      <c r="R82" s="455"/>
      <c r="S82" s="455"/>
      <c r="T82" s="455"/>
      <c r="U82" s="455"/>
      <c r="V82" s="455"/>
      <c r="W82" s="455"/>
      <c r="X82" s="455"/>
      <c r="Y82" s="455"/>
      <c r="Z82" s="455"/>
      <c r="AA82" s="455"/>
      <c r="AB82" s="455"/>
      <c r="AC82" s="455"/>
      <c r="AD82" s="455"/>
      <c r="AE82" s="455"/>
      <c r="AF82" s="455"/>
      <c r="AG82" s="455"/>
    </row>
    <row r="83" spans="1:33" s="181" customFormat="1" ht="15">
      <c r="B83" s="455"/>
      <c r="C83" s="202">
        <f>C82+1</f>
        <v>2</v>
      </c>
      <c r="D83" s="202" t="s">
        <v>692</v>
      </c>
      <c r="E83" s="202" t="s">
        <v>58</v>
      </c>
      <c r="F83" s="202"/>
      <c r="G83" s="202"/>
      <c r="H83" s="202">
        <v>110000</v>
      </c>
      <c r="I83" s="202">
        <v>147465</v>
      </c>
      <c r="J83" s="597">
        <v>0.14000000000000001</v>
      </c>
      <c r="K83" s="202"/>
      <c r="L83" s="202"/>
      <c r="M83" s="202"/>
      <c r="N83" s="202"/>
      <c r="O83" s="455"/>
      <c r="P83" s="455"/>
      <c r="Q83" s="455"/>
      <c r="R83" s="455"/>
      <c r="S83" s="455"/>
      <c r="T83" s="455"/>
      <c r="U83" s="455"/>
      <c r="V83" s="455"/>
      <c r="W83" s="455"/>
      <c r="X83" s="455"/>
      <c r="Y83" s="455"/>
      <c r="Z83" s="455"/>
      <c r="AA83" s="455"/>
      <c r="AB83" s="455"/>
      <c r="AC83" s="455"/>
      <c r="AD83" s="455"/>
      <c r="AE83" s="455"/>
      <c r="AF83" s="455"/>
      <c r="AG83" s="455"/>
    </row>
    <row r="84" spans="1:33" ht="15">
      <c r="A84" s="523"/>
      <c r="B84" s="523"/>
      <c r="C84" s="202">
        <f t="shared" ref="C84:C85" si="6">C83+1</f>
        <v>3</v>
      </c>
      <c r="D84" s="202" t="s">
        <v>694</v>
      </c>
      <c r="E84" s="202" t="s">
        <v>58</v>
      </c>
      <c r="F84" s="202"/>
      <c r="G84" s="202"/>
      <c r="H84" s="202">
        <v>80000</v>
      </c>
      <c r="I84" s="202">
        <v>106507</v>
      </c>
      <c r="J84" s="597">
        <v>0.34</v>
      </c>
      <c r="K84" s="202"/>
      <c r="L84" s="202"/>
      <c r="M84" s="202"/>
      <c r="N84" s="202"/>
      <c r="O84" s="523"/>
      <c r="P84" s="523"/>
      <c r="Q84" s="523"/>
      <c r="R84" s="523"/>
      <c r="S84" s="523"/>
      <c r="T84" s="523"/>
      <c r="U84" s="523"/>
      <c r="V84" s="523"/>
      <c r="W84" s="523"/>
      <c r="X84" s="523"/>
      <c r="Y84" s="523"/>
      <c r="Z84" s="523"/>
      <c r="AA84" s="523"/>
      <c r="AB84" s="523"/>
      <c r="AC84" s="523"/>
      <c r="AD84" s="523"/>
      <c r="AE84" s="523"/>
      <c r="AF84" s="523"/>
      <c r="AG84" s="523"/>
    </row>
    <row r="85" spans="1:33" ht="15">
      <c r="A85" s="523"/>
      <c r="B85" s="523"/>
      <c r="C85" s="202">
        <f t="shared" si="6"/>
        <v>4</v>
      </c>
      <c r="D85" s="202" t="s">
        <v>695</v>
      </c>
      <c r="E85" s="202" t="s">
        <v>58</v>
      </c>
      <c r="F85" s="202"/>
      <c r="G85" s="202"/>
      <c r="H85" s="202">
        <v>80000</v>
      </c>
      <c r="I85" s="202">
        <v>116463</v>
      </c>
      <c r="J85" s="597">
        <v>0.49</v>
      </c>
      <c r="K85" s="202"/>
      <c r="L85" s="202"/>
      <c r="M85" s="202"/>
      <c r="N85" s="202"/>
      <c r="O85" s="523"/>
      <c r="P85" s="523"/>
      <c r="Q85" s="523"/>
      <c r="R85" s="523"/>
      <c r="S85" s="523"/>
      <c r="T85" s="523"/>
      <c r="U85" s="523"/>
      <c r="V85" s="523"/>
      <c r="W85" s="523"/>
      <c r="X85" s="523"/>
      <c r="Y85" s="523"/>
      <c r="Z85" s="523"/>
      <c r="AA85" s="523"/>
      <c r="AB85" s="523"/>
      <c r="AC85" s="523"/>
      <c r="AD85" s="523"/>
      <c r="AE85" s="523"/>
      <c r="AF85" s="523"/>
      <c r="AG85" s="523"/>
    </row>
    <row r="86" spans="1:33" ht="15">
      <c r="A86" s="523"/>
      <c r="B86" s="523"/>
      <c r="C86" s="524">
        <f>C85+1</f>
        <v>5</v>
      </c>
      <c r="D86" s="524" t="s">
        <v>1970</v>
      </c>
      <c r="E86" s="524"/>
      <c r="F86" s="524"/>
      <c r="G86" s="533" t="s">
        <v>1373</v>
      </c>
      <c r="H86" s="524"/>
      <c r="I86" s="524"/>
      <c r="J86" s="524"/>
      <c r="K86" s="524"/>
      <c r="L86" s="524" t="s">
        <v>1971</v>
      </c>
      <c r="M86" s="529"/>
      <c r="N86" s="529"/>
      <c r="O86" s="523"/>
      <c r="P86" s="523"/>
      <c r="Q86" s="523"/>
      <c r="R86" s="523"/>
      <c r="S86" s="523"/>
      <c r="T86" s="523"/>
      <c r="U86" s="523"/>
      <c r="V86" s="523"/>
      <c r="W86" s="523"/>
      <c r="X86" s="523"/>
      <c r="Y86" s="523"/>
      <c r="Z86" s="523"/>
      <c r="AA86" s="523"/>
      <c r="AB86" s="523"/>
      <c r="AC86" s="523"/>
      <c r="AD86" s="523"/>
      <c r="AE86" s="523"/>
      <c r="AF86" s="523"/>
      <c r="AG86" s="523"/>
    </row>
    <row r="87" spans="1:33" ht="15">
      <c r="A87" s="523"/>
      <c r="B87" s="523"/>
      <c r="C87" s="524">
        <f>C86+1</f>
        <v>6</v>
      </c>
      <c r="D87" s="524" t="s">
        <v>1973</v>
      </c>
      <c r="E87" s="524"/>
      <c r="F87" s="524"/>
      <c r="G87" s="533" t="s">
        <v>1373</v>
      </c>
      <c r="H87" s="524"/>
      <c r="I87" s="524"/>
      <c r="J87" s="524"/>
      <c r="K87" s="524"/>
      <c r="L87" s="524" t="s">
        <v>1972</v>
      </c>
      <c r="M87" s="529"/>
      <c r="N87" s="529"/>
      <c r="O87" s="523"/>
      <c r="P87" s="523"/>
      <c r="Q87" s="523"/>
      <c r="R87" s="523"/>
      <c r="S87" s="523"/>
      <c r="T87" s="523"/>
      <c r="U87" s="523"/>
      <c r="V87" s="523"/>
      <c r="W87" s="523"/>
      <c r="X87" s="523"/>
      <c r="Y87" s="523"/>
      <c r="Z87" s="523"/>
      <c r="AA87" s="523"/>
      <c r="AB87" s="523"/>
      <c r="AC87" s="523"/>
      <c r="AD87" s="523"/>
      <c r="AE87" s="523"/>
      <c r="AF87" s="523"/>
      <c r="AG87" s="523"/>
    </row>
    <row r="88" spans="1:33" ht="15">
      <c r="A88" s="523"/>
      <c r="B88" s="523"/>
      <c r="C88" s="523"/>
      <c r="D88" s="523"/>
      <c r="E88" s="523"/>
      <c r="F88" s="523"/>
      <c r="G88" s="523"/>
      <c r="H88" s="523"/>
      <c r="I88" s="523"/>
      <c r="J88" s="523"/>
      <c r="K88" s="523"/>
      <c r="L88" s="523"/>
      <c r="M88" s="523"/>
      <c r="N88" s="523"/>
      <c r="O88" s="523"/>
      <c r="P88" s="523"/>
      <c r="Q88" s="523"/>
      <c r="R88" s="523"/>
      <c r="S88" s="523"/>
      <c r="T88" s="523"/>
      <c r="U88" s="523"/>
      <c r="V88" s="523"/>
      <c r="W88" s="523"/>
      <c r="X88" s="523"/>
      <c r="Y88" s="523"/>
      <c r="Z88" s="523"/>
      <c r="AA88" s="523"/>
      <c r="AB88" s="523"/>
      <c r="AC88" s="523"/>
      <c r="AD88" s="523"/>
      <c r="AE88" s="523"/>
      <c r="AF88" s="523"/>
      <c r="AG88" s="523"/>
    </row>
    <row r="89" spans="1:33" ht="15">
      <c r="A89" s="523"/>
      <c r="B89" s="523"/>
      <c r="C89" s="523"/>
      <c r="D89" s="523"/>
      <c r="E89" s="523"/>
      <c r="F89" s="523"/>
      <c r="G89" s="523"/>
      <c r="H89" s="523"/>
      <c r="I89" s="523"/>
      <c r="J89" s="523"/>
      <c r="K89" s="523"/>
      <c r="L89" s="523"/>
      <c r="M89" s="523"/>
      <c r="N89" s="523"/>
      <c r="O89" s="523"/>
      <c r="P89" s="523"/>
      <c r="Q89" s="523"/>
      <c r="R89" s="523"/>
      <c r="S89" s="523"/>
      <c r="T89" s="523"/>
      <c r="U89" s="523"/>
      <c r="V89" s="523"/>
      <c r="W89" s="523"/>
      <c r="X89" s="523"/>
      <c r="Y89" s="523"/>
      <c r="Z89" s="523"/>
      <c r="AA89" s="523"/>
      <c r="AB89" s="523"/>
      <c r="AC89" s="523"/>
      <c r="AD89" s="523"/>
      <c r="AE89" s="523"/>
      <c r="AF89" s="523"/>
      <c r="AG89" s="523"/>
    </row>
    <row r="90" spans="1:33" ht="15.75">
      <c r="B90" s="523"/>
      <c r="C90" s="523"/>
      <c r="D90" s="523"/>
      <c r="E90" s="523"/>
      <c r="F90" s="523"/>
      <c r="G90" s="523"/>
      <c r="H90" s="523"/>
      <c r="I90" s="541" t="s">
        <v>1372</v>
      </c>
      <c r="J90" s="538"/>
      <c r="K90" s="523"/>
      <c r="L90" s="523"/>
      <c r="M90" s="523"/>
      <c r="N90" s="523"/>
      <c r="O90" s="523"/>
      <c r="P90" s="523"/>
      <c r="Q90" s="523"/>
      <c r="R90" s="523"/>
      <c r="S90" s="523"/>
      <c r="T90" s="523"/>
      <c r="U90" s="523"/>
      <c r="V90" s="523"/>
      <c r="W90" s="523"/>
      <c r="X90" s="523"/>
      <c r="Y90" s="523"/>
      <c r="Z90" s="523"/>
      <c r="AA90" s="523"/>
      <c r="AB90" s="523"/>
      <c r="AC90" s="523"/>
      <c r="AD90" s="523"/>
      <c r="AE90" s="523"/>
      <c r="AF90" s="523"/>
      <c r="AG90" s="523"/>
    </row>
    <row r="91" spans="1:33" ht="15">
      <c r="B91" s="523"/>
      <c r="C91" s="535" t="s">
        <v>1484</v>
      </c>
      <c r="D91" s="529"/>
      <c r="E91" s="529"/>
      <c r="F91" s="529"/>
      <c r="G91" s="526"/>
      <c r="H91" s="523"/>
      <c r="I91" s="539" t="s">
        <v>1677</v>
      </c>
      <c r="J91" s="523" t="s">
        <v>1679</v>
      </c>
      <c r="K91" s="523"/>
      <c r="L91" s="523"/>
      <c r="M91" s="523"/>
      <c r="N91" s="523"/>
      <c r="O91" s="523"/>
      <c r="P91" s="523"/>
      <c r="Q91" s="523"/>
      <c r="R91" s="523"/>
      <c r="S91" s="523"/>
      <c r="T91" s="523"/>
      <c r="U91" s="523"/>
      <c r="V91" s="523"/>
      <c r="W91" s="523"/>
      <c r="X91" s="523"/>
      <c r="Y91" s="523"/>
      <c r="Z91" s="523"/>
      <c r="AA91" s="523"/>
      <c r="AB91" s="523"/>
      <c r="AC91" s="523"/>
      <c r="AD91" s="523"/>
      <c r="AE91" s="523"/>
      <c r="AF91" s="523"/>
      <c r="AG91" s="523"/>
    </row>
    <row r="92" spans="1:33" ht="15">
      <c r="B92" s="523"/>
      <c r="C92" s="524" t="s">
        <v>1035</v>
      </c>
      <c r="D92" s="300"/>
      <c r="E92" s="300"/>
      <c r="F92" s="300"/>
      <c r="G92" s="526"/>
      <c r="H92" s="523"/>
      <c r="I92" s="539" t="s">
        <v>1678</v>
      </c>
      <c r="J92" s="523"/>
      <c r="K92" s="523"/>
      <c r="L92" s="523"/>
      <c r="M92" s="523"/>
      <c r="N92" s="523"/>
      <c r="O92" s="523"/>
      <c r="P92" s="523"/>
      <c r="Q92" s="523"/>
      <c r="R92" s="523"/>
      <c r="S92" s="523"/>
      <c r="T92" s="523"/>
      <c r="U92" s="523"/>
      <c r="V92" s="523"/>
      <c r="W92" s="523"/>
      <c r="X92" s="523"/>
      <c r="Y92" s="523"/>
      <c r="Z92" s="523"/>
      <c r="AA92" s="523"/>
      <c r="AB92" s="523"/>
      <c r="AC92" s="523"/>
      <c r="AD92" s="523"/>
      <c r="AE92" s="523"/>
      <c r="AF92" s="523"/>
      <c r="AG92" s="523"/>
    </row>
    <row r="93" spans="1:33" ht="15">
      <c r="B93" s="523"/>
      <c r="C93" s="673" t="s">
        <v>1033</v>
      </c>
      <c r="D93" s="300"/>
      <c r="E93" s="672" t="s">
        <v>2255</v>
      </c>
      <c r="F93" s="300"/>
      <c r="G93" s="526"/>
      <c r="H93" s="526"/>
      <c r="J93" s="526"/>
      <c r="K93" s="523"/>
      <c r="L93" s="523"/>
      <c r="M93" s="523"/>
      <c r="N93" s="523"/>
      <c r="O93" s="523"/>
      <c r="P93" s="523"/>
      <c r="Q93" s="523"/>
      <c r="R93" s="523"/>
      <c r="S93" s="523"/>
      <c r="T93" s="523"/>
      <c r="U93" s="523"/>
      <c r="V93" s="523"/>
      <c r="W93" s="523"/>
      <c r="X93" s="523"/>
      <c r="Y93" s="523"/>
      <c r="Z93" s="523"/>
      <c r="AA93" s="523"/>
      <c r="AB93" s="523"/>
      <c r="AC93" s="523"/>
      <c r="AD93" s="523"/>
      <c r="AE93" s="523"/>
      <c r="AF93" s="523"/>
      <c r="AG93" s="523"/>
    </row>
    <row r="94" spans="1:33" ht="15">
      <c r="B94" s="523"/>
      <c r="C94" s="524"/>
      <c r="D94" s="524"/>
      <c r="E94" s="524"/>
      <c r="F94" s="300"/>
      <c r="G94" s="526"/>
      <c r="H94" s="526"/>
      <c r="I94" s="524" t="s">
        <v>390</v>
      </c>
      <c r="J94" s="524" t="s">
        <v>1651</v>
      </c>
      <c r="K94" s="523"/>
      <c r="L94" s="523"/>
      <c r="M94" s="523"/>
      <c r="N94" s="523"/>
      <c r="O94" s="523"/>
      <c r="P94" s="523"/>
      <c r="Q94" s="523"/>
      <c r="R94" s="523"/>
      <c r="S94" s="523"/>
      <c r="T94" s="523"/>
      <c r="U94" s="523"/>
      <c r="V94" s="523"/>
      <c r="W94" s="523"/>
      <c r="X94" s="523"/>
      <c r="Y94" s="523"/>
      <c r="Z94" s="523"/>
      <c r="AA94" s="523"/>
      <c r="AB94" s="523"/>
      <c r="AC94" s="523"/>
      <c r="AD94" s="523"/>
      <c r="AE94" s="523"/>
      <c r="AF94" s="523"/>
      <c r="AG94" s="523"/>
    </row>
    <row r="95" spans="1:33" ht="15">
      <c r="B95" s="523"/>
      <c r="C95" s="535" t="s">
        <v>1731</v>
      </c>
      <c r="D95" s="300"/>
      <c r="E95" s="300"/>
      <c r="F95" s="300"/>
      <c r="G95" s="526"/>
      <c r="H95" s="536"/>
      <c r="I95" s="524" t="s">
        <v>1647</v>
      </c>
      <c r="J95" s="524" t="s">
        <v>1646</v>
      </c>
      <c r="K95" s="523"/>
      <c r="L95" s="523"/>
      <c r="M95" s="523"/>
      <c r="N95" s="523"/>
      <c r="O95" s="523"/>
      <c r="P95" s="523"/>
      <c r="Q95" s="523"/>
      <c r="R95" s="523"/>
      <c r="S95" s="523"/>
      <c r="T95" s="523"/>
      <c r="U95" s="523"/>
      <c r="V95" s="523"/>
      <c r="W95" s="523"/>
      <c r="X95" s="523"/>
      <c r="Y95" s="523"/>
      <c r="Z95" s="523"/>
      <c r="AA95" s="523"/>
      <c r="AB95" s="523"/>
      <c r="AC95" s="523"/>
      <c r="AD95" s="523"/>
      <c r="AE95" s="523"/>
      <c r="AF95" s="523"/>
      <c r="AG95" s="523"/>
    </row>
    <row r="96" spans="1:33" ht="15">
      <c r="B96" s="523"/>
      <c r="C96" s="524" t="s">
        <v>1034</v>
      </c>
      <c r="D96" s="300"/>
      <c r="E96" s="672" t="s">
        <v>2254</v>
      </c>
      <c r="F96" s="300"/>
      <c r="G96" s="526"/>
      <c r="H96" s="537"/>
      <c r="I96" s="524" t="s">
        <v>1648</v>
      </c>
      <c r="J96" s="524" t="s">
        <v>1649</v>
      </c>
      <c r="K96" s="523"/>
      <c r="L96" s="523"/>
      <c r="M96" s="523"/>
      <c r="N96" s="523"/>
      <c r="O96" s="523"/>
      <c r="P96" s="523"/>
      <c r="Q96" s="523"/>
      <c r="R96" s="523"/>
      <c r="S96" s="523"/>
      <c r="T96" s="523"/>
      <c r="U96" s="523"/>
      <c r="V96" s="523"/>
      <c r="W96" s="523"/>
      <c r="X96" s="523"/>
      <c r="Y96" s="523"/>
      <c r="Z96" s="523"/>
      <c r="AA96" s="523"/>
      <c r="AB96" s="523"/>
      <c r="AC96" s="523"/>
      <c r="AD96" s="523"/>
      <c r="AE96" s="523"/>
      <c r="AF96" s="523"/>
      <c r="AG96" s="523"/>
    </row>
    <row r="97" spans="2:33" ht="15">
      <c r="B97" s="523"/>
      <c r="C97" s="524" t="s">
        <v>1277</v>
      </c>
      <c r="D97" s="300"/>
      <c r="E97" s="300"/>
      <c r="F97" s="524"/>
      <c r="G97" s="526"/>
      <c r="H97" s="537"/>
      <c r="I97" s="524" t="s">
        <v>1650</v>
      </c>
      <c r="J97" s="524">
        <v>45296588</v>
      </c>
      <c r="K97" s="523"/>
      <c r="L97" s="523"/>
      <c r="M97" s="523"/>
      <c r="N97" s="523"/>
      <c r="O97" s="523"/>
      <c r="P97" s="523"/>
      <c r="Q97" s="523"/>
      <c r="R97" s="523"/>
      <c r="S97" s="523"/>
      <c r="T97" s="523"/>
      <c r="U97" s="523"/>
      <c r="V97" s="523"/>
      <c r="W97" s="523"/>
      <c r="X97" s="523"/>
      <c r="Y97" s="523"/>
      <c r="Z97" s="523"/>
      <c r="AA97" s="523"/>
      <c r="AB97" s="523"/>
      <c r="AC97" s="523"/>
      <c r="AD97" s="523"/>
      <c r="AE97" s="523"/>
      <c r="AF97" s="523"/>
      <c r="AG97" s="523"/>
    </row>
    <row r="98" spans="2:33" ht="15">
      <c r="B98" s="523"/>
      <c r="C98" s="63"/>
      <c r="D98" s="300"/>
      <c r="E98" s="300"/>
      <c r="F98" s="300"/>
      <c r="G98" s="526"/>
      <c r="H98" s="537"/>
      <c r="J98" s="526"/>
      <c r="K98" s="523"/>
      <c r="L98" s="523"/>
      <c r="M98" s="523"/>
      <c r="N98" s="523"/>
      <c r="O98" s="523"/>
      <c r="P98" s="523"/>
      <c r="Q98" s="523"/>
      <c r="R98" s="523"/>
      <c r="S98" s="523"/>
      <c r="T98" s="523"/>
      <c r="U98" s="523"/>
      <c r="V98" s="523"/>
      <c r="W98" s="523"/>
      <c r="X98" s="523"/>
      <c r="Y98" s="523"/>
      <c r="Z98" s="523"/>
      <c r="AA98" s="523"/>
      <c r="AB98" s="523"/>
      <c r="AC98" s="523"/>
      <c r="AD98" s="523"/>
      <c r="AE98" s="523"/>
      <c r="AF98" s="523"/>
      <c r="AG98" s="523"/>
    </row>
    <row r="99" spans="2:33" ht="15">
      <c r="B99" s="523"/>
      <c r="C99" s="535" t="s">
        <v>1488</v>
      </c>
      <c r="D99" s="300"/>
      <c r="E99" s="300"/>
      <c r="F99" s="300"/>
      <c r="G99" s="526"/>
      <c r="H99" s="537"/>
      <c r="I99" s="523"/>
      <c r="J99" s="523"/>
      <c r="K99" s="523"/>
      <c r="L99" s="523"/>
      <c r="M99" s="523"/>
      <c r="N99" s="523"/>
      <c r="O99" s="523"/>
      <c r="P99" s="523"/>
      <c r="Q99" s="523"/>
      <c r="R99" s="523"/>
      <c r="S99" s="523"/>
      <c r="T99" s="523"/>
      <c r="U99" s="523"/>
      <c r="V99" s="523"/>
      <c r="W99" s="523"/>
      <c r="X99" s="523"/>
      <c r="Y99" s="523"/>
      <c r="Z99" s="523"/>
      <c r="AA99" s="523"/>
      <c r="AB99" s="523"/>
      <c r="AC99" s="523"/>
      <c r="AD99" s="523"/>
      <c r="AE99" s="523"/>
      <c r="AF99" s="523"/>
      <c r="AG99" s="523"/>
    </row>
    <row r="100" spans="2:33" ht="15">
      <c r="B100" s="523"/>
      <c r="C100" s="524" t="s">
        <v>1062</v>
      </c>
      <c r="D100" s="300"/>
      <c r="E100" s="300"/>
      <c r="F100" s="300"/>
      <c r="G100" s="526"/>
      <c r="H100" s="537"/>
      <c r="I100" s="537"/>
      <c r="J100" s="534"/>
      <c r="L100" s="523"/>
      <c r="M100" s="523"/>
      <c r="N100" s="523"/>
      <c r="O100" s="523"/>
      <c r="P100" s="523"/>
      <c r="Q100" s="523"/>
      <c r="R100" s="523"/>
      <c r="S100" s="523"/>
      <c r="T100" s="523"/>
      <c r="U100" s="523"/>
      <c r="V100" s="523"/>
      <c r="W100" s="523"/>
      <c r="X100" s="523"/>
      <c r="Y100" s="523"/>
      <c r="Z100" s="523"/>
      <c r="AA100" s="523"/>
      <c r="AB100" s="523"/>
      <c r="AC100" s="523"/>
      <c r="AD100" s="523"/>
      <c r="AE100" s="523"/>
      <c r="AF100" s="523"/>
      <c r="AG100" s="523"/>
    </row>
    <row r="101" spans="2:33" ht="15">
      <c r="B101" s="523"/>
      <c r="C101" s="524" t="s">
        <v>1487</v>
      </c>
      <c r="D101" s="300"/>
      <c r="E101" s="300"/>
      <c r="F101" s="300"/>
      <c r="G101" s="526"/>
      <c r="H101" s="537"/>
      <c r="I101" s="534"/>
      <c r="J101" s="523"/>
      <c r="L101" s="523"/>
      <c r="M101" s="523"/>
      <c r="N101" s="523"/>
      <c r="O101" s="523"/>
      <c r="P101" s="523"/>
      <c r="Q101" s="523"/>
      <c r="R101" s="523"/>
      <c r="S101" s="523"/>
      <c r="T101" s="523"/>
      <c r="U101" s="523"/>
      <c r="V101" s="523"/>
      <c r="W101" s="523"/>
      <c r="X101" s="523"/>
      <c r="Y101" s="523"/>
      <c r="Z101" s="523"/>
      <c r="AA101" s="523"/>
      <c r="AB101" s="523"/>
      <c r="AC101" s="523"/>
      <c r="AD101" s="523"/>
      <c r="AE101" s="523"/>
      <c r="AF101" s="523"/>
      <c r="AG101" s="523"/>
    </row>
    <row r="102" spans="2:33" ht="15">
      <c r="B102" s="523"/>
      <c r="F102" s="526"/>
      <c r="G102" s="526"/>
      <c r="H102" s="537"/>
      <c r="I102" s="523"/>
      <c r="J102" s="523"/>
      <c r="L102" s="523"/>
      <c r="M102" s="523"/>
      <c r="N102" s="523"/>
      <c r="O102" s="523"/>
      <c r="P102" s="523"/>
      <c r="Q102" s="523"/>
      <c r="R102" s="523"/>
      <c r="S102" s="523"/>
      <c r="T102" s="523"/>
      <c r="U102" s="523"/>
      <c r="V102" s="523"/>
      <c r="W102" s="523"/>
      <c r="X102" s="523"/>
      <c r="Y102" s="523"/>
      <c r="Z102" s="523"/>
      <c r="AA102" s="523"/>
      <c r="AB102" s="523"/>
      <c r="AC102" s="523"/>
      <c r="AD102" s="523"/>
      <c r="AE102" s="523"/>
      <c r="AF102" s="523"/>
      <c r="AG102" s="523"/>
    </row>
    <row r="103" spans="2:33" ht="15">
      <c r="B103" s="523"/>
      <c r="C103" s="533" t="s">
        <v>1373</v>
      </c>
      <c r="F103" s="523"/>
      <c r="G103" s="523"/>
      <c r="H103" s="523"/>
      <c r="I103" s="523"/>
      <c r="J103" s="523"/>
      <c r="K103" s="523"/>
      <c r="L103" s="523"/>
      <c r="M103" s="523"/>
      <c r="N103" s="523"/>
      <c r="O103" s="523"/>
      <c r="P103" s="523"/>
      <c r="Q103" s="523"/>
      <c r="R103" s="523"/>
      <c r="S103" s="523"/>
      <c r="T103" s="523"/>
      <c r="U103" s="523"/>
      <c r="V103" s="523"/>
      <c r="W103" s="523"/>
      <c r="X103" s="523"/>
      <c r="Y103" s="523"/>
      <c r="Z103" s="523"/>
      <c r="AA103" s="523"/>
      <c r="AB103" s="523"/>
      <c r="AC103" s="523"/>
      <c r="AD103" s="523"/>
      <c r="AE103" s="523"/>
      <c r="AF103" s="523"/>
      <c r="AG103" s="523"/>
    </row>
    <row r="104" spans="2:33" ht="15">
      <c r="B104" s="523"/>
      <c r="C104" s="524" t="s">
        <v>1485</v>
      </c>
      <c r="F104" s="523"/>
      <c r="G104" s="523"/>
      <c r="H104" s="523"/>
      <c r="I104" s="523"/>
      <c r="J104" s="523"/>
      <c r="K104" s="523"/>
      <c r="L104" s="523"/>
      <c r="M104" s="523"/>
      <c r="N104" s="523"/>
      <c r="O104" s="523"/>
      <c r="P104" s="523"/>
      <c r="Q104" s="523"/>
      <c r="R104" s="523"/>
      <c r="S104" s="523"/>
      <c r="T104" s="523"/>
      <c r="U104" s="523"/>
      <c r="V104" s="523"/>
      <c r="W104" s="523"/>
      <c r="X104" s="523"/>
      <c r="Y104" s="523"/>
      <c r="Z104" s="523"/>
      <c r="AA104" s="523"/>
      <c r="AB104" s="523"/>
      <c r="AC104" s="523"/>
      <c r="AD104" s="523"/>
      <c r="AE104" s="523"/>
      <c r="AF104" s="523"/>
      <c r="AG104" s="523"/>
    </row>
    <row r="105" spans="2:33" ht="15">
      <c r="B105" s="523"/>
      <c r="C105" s="524" t="s">
        <v>1486</v>
      </c>
      <c r="D105" s="523"/>
      <c r="E105" s="523"/>
      <c r="F105" s="523"/>
      <c r="G105" s="523"/>
      <c r="H105" s="523"/>
      <c r="I105" s="523"/>
      <c r="J105" s="523"/>
      <c r="K105" s="523"/>
      <c r="L105" s="523"/>
      <c r="M105" s="523"/>
      <c r="N105" s="523"/>
      <c r="O105" s="523"/>
      <c r="P105" s="523"/>
      <c r="Q105" s="523"/>
      <c r="R105" s="523"/>
      <c r="S105" s="523"/>
      <c r="T105" s="523"/>
      <c r="U105" s="523"/>
      <c r="V105" s="523"/>
      <c r="W105" s="523"/>
      <c r="X105" s="523"/>
      <c r="Y105" s="523"/>
      <c r="Z105" s="523"/>
      <c r="AA105" s="523"/>
      <c r="AB105" s="523"/>
      <c r="AC105" s="523"/>
      <c r="AD105" s="523"/>
      <c r="AE105" s="523"/>
      <c r="AF105" s="523"/>
      <c r="AG105" s="523"/>
    </row>
    <row r="106" spans="2:33" ht="15">
      <c r="B106" s="523"/>
      <c r="C106" s="523"/>
      <c r="D106" s="523"/>
      <c r="E106" s="523"/>
      <c r="F106" s="523"/>
      <c r="I106" s="523"/>
      <c r="J106" s="523"/>
      <c r="K106" s="523"/>
      <c r="L106" s="523"/>
      <c r="M106" s="523"/>
      <c r="N106" s="523"/>
      <c r="O106" s="523"/>
      <c r="P106" s="523"/>
      <c r="Q106" s="523"/>
      <c r="R106" s="523"/>
      <c r="S106" s="523"/>
      <c r="T106" s="523"/>
      <c r="U106" s="523"/>
      <c r="V106" s="523"/>
      <c r="W106" s="523"/>
      <c r="X106" s="523"/>
      <c r="Y106" s="523"/>
      <c r="Z106" s="523"/>
      <c r="AA106" s="523"/>
      <c r="AB106" s="523"/>
      <c r="AC106" s="523"/>
      <c r="AD106" s="523"/>
      <c r="AE106" s="523"/>
      <c r="AF106" s="523"/>
      <c r="AG106" s="523"/>
    </row>
    <row r="107" spans="2:33" ht="15">
      <c r="B107" s="523"/>
      <c r="C107" s="523"/>
      <c r="D107" s="523"/>
      <c r="E107" s="523"/>
      <c r="F107" s="523"/>
      <c r="I107" s="523"/>
      <c r="J107" s="523"/>
      <c r="K107" s="523"/>
      <c r="L107" s="523"/>
      <c r="M107" s="523"/>
      <c r="N107" s="523"/>
      <c r="O107" s="523"/>
      <c r="P107" s="523"/>
      <c r="Q107" s="523"/>
      <c r="R107" s="523"/>
      <c r="S107" s="523"/>
      <c r="T107" s="523"/>
      <c r="U107" s="523"/>
      <c r="V107" s="523"/>
      <c r="W107" s="523"/>
      <c r="X107" s="523"/>
      <c r="Y107" s="523"/>
      <c r="Z107" s="523"/>
      <c r="AA107" s="523"/>
      <c r="AB107" s="523"/>
      <c r="AC107" s="523"/>
      <c r="AD107" s="523"/>
      <c r="AE107" s="523"/>
      <c r="AF107" s="523"/>
      <c r="AG107" s="523"/>
    </row>
    <row r="108" spans="2:33" ht="26.25">
      <c r="B108" s="691" t="s">
        <v>2222</v>
      </c>
      <c r="C108" s="691"/>
      <c r="D108" s="691"/>
      <c r="E108" s="691"/>
      <c r="F108" s="691"/>
      <c r="I108" s="523"/>
      <c r="J108" s="523"/>
      <c r="K108" s="523"/>
      <c r="L108" s="523"/>
      <c r="M108" s="523"/>
      <c r="N108" s="523"/>
      <c r="O108" s="523"/>
      <c r="P108" s="523"/>
      <c r="Q108" s="523"/>
      <c r="R108" s="523"/>
      <c r="S108" s="523"/>
      <c r="T108" s="523"/>
      <c r="U108" s="523"/>
      <c r="V108" s="523"/>
      <c r="W108" s="523"/>
      <c r="X108" s="523"/>
      <c r="Y108" s="523"/>
      <c r="Z108" s="523"/>
      <c r="AA108" s="523"/>
      <c r="AB108" s="523"/>
      <c r="AC108" s="523"/>
      <c r="AD108" s="523"/>
      <c r="AE108" s="523"/>
      <c r="AF108" s="523"/>
      <c r="AG108" s="523"/>
    </row>
    <row r="109" spans="2:33" ht="15">
      <c r="B109" s="523"/>
      <c r="C109" s="523"/>
      <c r="D109" s="523"/>
      <c r="E109" s="523"/>
      <c r="F109" s="523"/>
      <c r="G109" s="523"/>
      <c r="H109" s="523"/>
      <c r="I109" s="523"/>
      <c r="J109" s="523"/>
      <c r="K109" s="523"/>
      <c r="L109" s="523"/>
      <c r="M109" s="523"/>
      <c r="N109" s="523"/>
      <c r="O109" s="523"/>
      <c r="P109" s="523"/>
      <c r="Q109" s="523"/>
      <c r="R109" s="523"/>
      <c r="S109" s="523"/>
      <c r="T109" s="523"/>
      <c r="U109" s="523"/>
      <c r="V109" s="523"/>
      <c r="W109" s="523"/>
      <c r="X109" s="523"/>
      <c r="Y109" s="523"/>
      <c r="Z109" s="523"/>
      <c r="AA109" s="523"/>
      <c r="AB109" s="523"/>
      <c r="AC109" s="523"/>
      <c r="AD109" s="523"/>
      <c r="AE109" s="523"/>
      <c r="AF109" s="523"/>
      <c r="AG109" s="523"/>
    </row>
    <row r="110" spans="2:33" ht="18.75">
      <c r="B110" s="523"/>
      <c r="C110" s="651" t="s">
        <v>2210</v>
      </c>
      <c r="D110" s="523"/>
      <c r="E110" s="523"/>
      <c r="F110" s="523"/>
      <c r="G110" s="523">
        <v>12</v>
      </c>
      <c r="H110" s="523">
        <v>3</v>
      </c>
      <c r="I110" s="523"/>
      <c r="J110" s="523"/>
      <c r="K110" s="523"/>
      <c r="L110" s="523"/>
      <c r="M110" s="523"/>
      <c r="N110" s="523"/>
      <c r="O110" s="523"/>
      <c r="P110" s="523"/>
      <c r="Q110" s="523"/>
      <c r="R110" s="523"/>
      <c r="S110" s="523"/>
      <c r="T110" s="523"/>
      <c r="U110" s="523"/>
      <c r="V110" s="523"/>
      <c r="W110" s="523"/>
      <c r="X110" s="523"/>
      <c r="Y110" s="523"/>
      <c r="Z110" s="523"/>
      <c r="AA110" s="523"/>
      <c r="AB110" s="523"/>
      <c r="AC110" s="523"/>
      <c r="AD110" s="523"/>
      <c r="AE110" s="523"/>
      <c r="AF110" s="523"/>
      <c r="AG110" s="523"/>
    </row>
    <row r="111" spans="2:33" ht="15.75">
      <c r="B111" s="523"/>
      <c r="C111" s="524" t="s">
        <v>2220</v>
      </c>
      <c r="D111" s="523"/>
      <c r="E111" s="523">
        <v>4</v>
      </c>
      <c r="F111" s="523"/>
      <c r="G111" s="523">
        <v>10</v>
      </c>
      <c r="H111" s="523">
        <v>2</v>
      </c>
      <c r="I111" s="523"/>
      <c r="J111" s="523"/>
      <c r="K111" s="523"/>
      <c r="L111" s="523"/>
      <c r="M111" s="523"/>
      <c r="N111" s="523"/>
      <c r="O111" s="523"/>
      <c r="P111" s="523"/>
      <c r="Q111" s="523"/>
      <c r="R111" s="523"/>
      <c r="S111" s="523"/>
      <c r="T111" s="523"/>
      <c r="U111" s="523"/>
      <c r="V111" s="523"/>
      <c r="W111" s="523"/>
      <c r="X111" s="523"/>
      <c r="Y111" s="523"/>
      <c r="Z111" s="523"/>
      <c r="AA111" s="523"/>
      <c r="AB111" s="523"/>
      <c r="AC111" s="523"/>
      <c r="AD111" s="523"/>
      <c r="AE111" s="523"/>
      <c r="AF111" s="523"/>
      <c r="AG111" s="523"/>
    </row>
    <row r="112" spans="2:33" ht="15">
      <c r="B112" s="523"/>
      <c r="C112" s="671" t="s">
        <v>2221</v>
      </c>
      <c r="D112" s="523"/>
      <c r="E112" s="523"/>
      <c r="F112" s="523"/>
      <c r="G112" s="523"/>
      <c r="H112" s="523"/>
      <c r="I112" s="523"/>
      <c r="J112" s="523"/>
      <c r="K112" s="523"/>
      <c r="L112" s="523"/>
      <c r="M112" s="523"/>
      <c r="N112" s="523"/>
      <c r="O112" s="523"/>
      <c r="P112" s="523"/>
      <c r="Q112" s="523"/>
      <c r="R112" s="523"/>
      <c r="S112" s="523"/>
      <c r="T112" s="523"/>
      <c r="U112" s="523"/>
      <c r="V112" s="523"/>
      <c r="W112" s="523"/>
      <c r="X112" s="523"/>
      <c r="Y112" s="523"/>
      <c r="Z112" s="523"/>
      <c r="AA112" s="523"/>
      <c r="AB112" s="523"/>
      <c r="AC112" s="523"/>
      <c r="AD112" s="523"/>
      <c r="AE112" s="523"/>
      <c r="AF112" s="523"/>
      <c r="AG112" s="523"/>
    </row>
    <row r="113" spans="2:33" ht="15">
      <c r="B113" s="523"/>
      <c r="C113" s="525"/>
      <c r="D113" s="523"/>
      <c r="E113" s="523"/>
      <c r="F113" s="523"/>
      <c r="G113" s="523"/>
      <c r="H113" s="523"/>
      <c r="I113" s="523"/>
      <c r="J113" s="523"/>
      <c r="K113" s="523"/>
      <c r="L113" s="523"/>
      <c r="M113" s="523"/>
      <c r="N113" s="523"/>
      <c r="O113" s="523"/>
      <c r="P113" s="523"/>
      <c r="Q113" s="523"/>
      <c r="R113" s="523"/>
      <c r="S113" s="523"/>
      <c r="T113" s="523"/>
      <c r="U113" s="523"/>
      <c r="V113" s="523"/>
      <c r="W113" s="523"/>
      <c r="X113" s="523"/>
      <c r="Y113" s="523"/>
      <c r="Z113" s="523"/>
      <c r="AA113" s="523"/>
      <c r="AB113" s="523"/>
      <c r="AC113" s="523"/>
      <c r="AD113" s="523"/>
      <c r="AE113" s="523"/>
      <c r="AF113" s="523"/>
      <c r="AG113" s="523"/>
    </row>
    <row r="115" spans="2:33" ht="18.75">
      <c r="C115" s="652" t="s">
        <v>2211</v>
      </c>
    </row>
    <row r="116" spans="2:33" ht="15">
      <c r="C116" s="671" t="s">
        <v>2213</v>
      </c>
    </row>
    <row r="117" spans="2:33" ht="15.75">
      <c r="C117" s="524" t="s">
        <v>2214</v>
      </c>
      <c r="E117">
        <v>6</v>
      </c>
    </row>
    <row r="118" spans="2:33" ht="15">
      <c r="C118" s="524"/>
    </row>
    <row r="121" spans="2:33" ht="18.75">
      <c r="C121" s="653" t="s">
        <v>2212</v>
      </c>
    </row>
    <row r="122" spans="2:33" ht="15">
      <c r="C122" s="524" t="s">
        <v>2215</v>
      </c>
    </row>
    <row r="123" spans="2:33" ht="15">
      <c r="C123" s="524" t="s">
        <v>2216</v>
      </c>
    </row>
    <row r="126" spans="2:33" ht="18.75">
      <c r="C126" s="654" t="s">
        <v>2217</v>
      </c>
    </row>
    <row r="127" spans="2:33" ht="15.75">
      <c r="C127" s="524" t="s">
        <v>2218</v>
      </c>
    </row>
    <row r="128" spans="2:33" ht="15">
      <c r="C128" s="524" t="s">
        <v>2216</v>
      </c>
    </row>
    <row r="129" spans="3:3" ht="15">
      <c r="C129" s="524" t="s">
        <v>2219</v>
      </c>
    </row>
  </sheetData>
  <mergeCells count="5">
    <mergeCell ref="H51:I51"/>
    <mergeCell ref="H18:I18"/>
    <mergeCell ref="H26:I26"/>
    <mergeCell ref="C77:D77"/>
    <mergeCell ref="B108:F108"/>
  </mergeCells>
  <hyperlinks>
    <hyperlink ref="E9" r:id="rId1" xr:uid="{7ABBCE1A-21A8-498B-8F81-F750BB5C03A1}"/>
    <hyperlink ref="E10" r:id="rId2" xr:uid="{C6B3645A-0FAB-4AE3-AF6E-281A56742DAF}"/>
  </hyperlinks>
  <pageMargins left="0.7" right="0.7" top="0.75" bottom="0.75" header="0.3" footer="0.3"/>
  <pageSetup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F3124-BB54-4A5D-8B1F-CBE068D18029}">
  <dimension ref="A1:Q226"/>
  <sheetViews>
    <sheetView tabSelected="1" workbookViewId="0">
      <pane ySplit="1" topLeftCell="A129" activePane="bottomLeft" state="frozen"/>
      <selection pane="bottomLeft" activeCell="F154" sqref="F154"/>
    </sheetView>
  </sheetViews>
  <sheetFormatPr defaultColWidth="9" defaultRowHeight="15"/>
  <cols>
    <col min="1" max="1" width="2.375" style="285" customWidth="1"/>
    <col min="2" max="2" width="11.375" style="459" customWidth="1"/>
    <col min="3" max="3" width="29" style="285" customWidth="1"/>
    <col min="4" max="4" width="23.375" style="285" customWidth="1"/>
    <col min="5" max="5" width="24.125" style="285" customWidth="1"/>
    <col min="6" max="6" width="19.625" style="285" customWidth="1"/>
    <col min="7" max="7" width="15" style="285" customWidth="1"/>
    <col min="8" max="8" width="15.375" style="285" bestFit="1" customWidth="1"/>
    <col min="9" max="9" width="21.125" style="285" customWidth="1"/>
    <col min="10" max="11" width="9" style="285"/>
    <col min="12" max="12" width="13.125" style="285" bestFit="1" customWidth="1"/>
    <col min="13" max="13" width="12" style="285" bestFit="1" customWidth="1"/>
    <col min="14" max="14" width="11" style="285" bestFit="1" customWidth="1"/>
    <col min="15" max="16384" width="9" style="285"/>
  </cols>
  <sheetData>
    <row r="1" spans="1:12" ht="19.5" thickBot="1">
      <c r="A1" s="462"/>
      <c r="B1" s="463" t="s">
        <v>25</v>
      </c>
      <c r="C1" s="464" t="s">
        <v>1273</v>
      </c>
      <c r="D1" s="464" t="s">
        <v>1474</v>
      </c>
      <c r="E1" s="464" t="s">
        <v>1475</v>
      </c>
      <c r="F1" s="464" t="s">
        <v>529</v>
      </c>
      <c r="G1" s="464" t="s">
        <v>528</v>
      </c>
      <c r="H1" s="464" t="s">
        <v>978</v>
      </c>
      <c r="I1" s="465" t="s">
        <v>1166</v>
      </c>
    </row>
    <row r="3" spans="1:12" ht="15.75">
      <c r="B3" s="458" t="s">
        <v>1479</v>
      </c>
    </row>
    <row r="4" spans="1:12">
      <c r="C4" s="289" t="s">
        <v>455</v>
      </c>
      <c r="D4" s="289" t="s">
        <v>456</v>
      </c>
      <c r="E4" s="289"/>
      <c r="F4" s="286"/>
      <c r="G4" s="286"/>
      <c r="H4" s="287" t="s">
        <v>311</v>
      </c>
      <c r="I4" s="286"/>
    </row>
    <row r="5" spans="1:12">
      <c r="C5" s="289" t="s">
        <v>448</v>
      </c>
      <c r="D5" s="286"/>
      <c r="E5" s="286" t="s">
        <v>371</v>
      </c>
      <c r="F5" s="289"/>
      <c r="G5" s="289"/>
      <c r="H5" s="289"/>
      <c r="I5" s="286" t="s">
        <v>370</v>
      </c>
    </row>
    <row r="6" spans="1:12">
      <c r="C6" s="459"/>
      <c r="D6" s="459"/>
      <c r="E6" s="459"/>
      <c r="F6" s="459"/>
      <c r="G6" s="459"/>
      <c r="H6" s="459"/>
      <c r="I6" s="459"/>
    </row>
    <row r="7" spans="1:12">
      <c r="C7" s="289" t="s">
        <v>559</v>
      </c>
      <c r="D7" s="289" t="s">
        <v>558</v>
      </c>
      <c r="E7" s="289"/>
      <c r="F7" s="289"/>
      <c r="G7" s="289"/>
      <c r="H7" s="289"/>
      <c r="I7" s="289"/>
    </row>
    <row r="8" spans="1:12">
      <c r="C8" s="289" t="s">
        <v>1575</v>
      </c>
      <c r="D8" s="289" t="s">
        <v>469</v>
      </c>
      <c r="E8" s="286" t="s">
        <v>369</v>
      </c>
      <c r="F8" s="286"/>
      <c r="G8" s="286"/>
      <c r="H8" s="287" t="s">
        <v>311</v>
      </c>
      <c r="I8" s="286"/>
    </row>
    <row r="10" spans="1:12">
      <c r="C10" s="289" t="s">
        <v>1254</v>
      </c>
      <c r="D10" s="289" t="s">
        <v>1939</v>
      </c>
      <c r="E10" s="289"/>
      <c r="F10" s="289"/>
      <c r="G10" s="289"/>
      <c r="H10" s="289"/>
      <c r="I10" s="286" t="s">
        <v>1253</v>
      </c>
    </row>
    <row r="11" spans="1:12">
      <c r="C11" s="289" t="s">
        <v>1644</v>
      </c>
      <c r="D11" s="289" t="s">
        <v>1645</v>
      </c>
      <c r="E11" s="289"/>
      <c r="F11" s="289"/>
      <c r="G11" s="289"/>
      <c r="H11" s="289"/>
      <c r="I11" s="289"/>
    </row>
    <row r="12" spans="1:12">
      <c r="C12" s="459"/>
      <c r="D12" s="459"/>
      <c r="E12" s="459"/>
      <c r="F12" s="459"/>
      <c r="G12" s="459"/>
      <c r="H12" s="459"/>
      <c r="I12" s="459"/>
      <c r="J12" s="459"/>
      <c r="K12" s="459"/>
      <c r="L12" s="459"/>
    </row>
    <row r="13" spans="1:12">
      <c r="C13" s="289" t="s">
        <v>1947</v>
      </c>
      <c r="D13" s="286" t="s">
        <v>1948</v>
      </c>
      <c r="E13" s="286"/>
      <c r="F13" s="286" t="s">
        <v>1949</v>
      </c>
      <c r="G13" s="286"/>
      <c r="H13" s="289"/>
      <c r="I13" s="286" t="s">
        <v>1946</v>
      </c>
    </row>
    <row r="14" spans="1:12">
      <c r="D14" s="460"/>
      <c r="E14" s="460"/>
      <c r="F14" s="460"/>
      <c r="G14" s="460"/>
      <c r="I14" s="460"/>
    </row>
    <row r="15" spans="1:12">
      <c r="C15" s="285" t="s">
        <v>2154</v>
      </c>
      <c r="D15" s="460" t="s">
        <v>2153</v>
      </c>
      <c r="E15" s="460"/>
      <c r="F15" s="460"/>
      <c r="G15" s="460"/>
      <c r="I15" s="460" t="s">
        <v>2152</v>
      </c>
    </row>
    <row r="16" spans="1:12">
      <c r="D16" s="285" t="s">
        <v>2155</v>
      </c>
      <c r="E16" s="460"/>
      <c r="F16" s="460"/>
      <c r="G16" s="460"/>
      <c r="H16" s="460"/>
      <c r="I16" s="460"/>
    </row>
    <row r="17" spans="2:10">
      <c r="E17" s="460"/>
      <c r="F17" s="460"/>
      <c r="G17" s="460"/>
      <c r="H17" s="460"/>
      <c r="I17" s="460"/>
    </row>
    <row r="18" spans="2:10" ht="15.75">
      <c r="B18" s="458" t="s">
        <v>1476</v>
      </c>
    </row>
    <row r="19" spans="2:10">
      <c r="B19" s="285"/>
      <c r="C19" s="286" t="s">
        <v>1314</v>
      </c>
      <c r="D19" s="286" t="s">
        <v>314</v>
      </c>
      <c r="E19" s="289" t="s">
        <v>1310</v>
      </c>
      <c r="F19" s="286" t="s">
        <v>1581</v>
      </c>
      <c r="G19" s="289"/>
      <c r="H19" s="287" t="s">
        <v>1311</v>
      </c>
      <c r="I19" s="289" t="s">
        <v>1313</v>
      </c>
    </row>
    <row r="20" spans="2:10">
      <c r="B20" s="285"/>
      <c r="C20" s="286" t="s">
        <v>1315</v>
      </c>
      <c r="D20" s="286" t="s">
        <v>372</v>
      </c>
      <c r="E20" s="289" t="s">
        <v>1310</v>
      </c>
      <c r="F20" s="286" t="s">
        <v>1581</v>
      </c>
      <c r="G20" s="289" t="s">
        <v>533</v>
      </c>
      <c r="H20" s="287" t="s">
        <v>1311</v>
      </c>
      <c r="I20" s="289" t="s">
        <v>1313</v>
      </c>
    </row>
    <row r="21" spans="2:10">
      <c r="B21" s="285"/>
      <c r="C21" s="286" t="s">
        <v>1316</v>
      </c>
      <c r="D21" s="286" t="s">
        <v>433</v>
      </c>
      <c r="E21" s="289" t="s">
        <v>963</v>
      </c>
      <c r="F21" s="289"/>
      <c r="G21" s="289"/>
      <c r="H21" s="287" t="s">
        <v>311</v>
      </c>
      <c r="I21" s="289"/>
    </row>
    <row r="22" spans="2:10">
      <c r="B22" s="285"/>
      <c r="C22" s="286"/>
      <c r="D22" s="286"/>
      <c r="E22" s="289"/>
      <c r="F22" s="289"/>
      <c r="G22" s="289"/>
      <c r="H22" s="287"/>
      <c r="I22" s="289"/>
    </row>
    <row r="23" spans="2:10">
      <c r="B23" s="285"/>
      <c r="C23" s="575" t="s">
        <v>2075</v>
      </c>
      <c r="D23" s="575" t="s">
        <v>1321</v>
      </c>
      <c r="E23" s="574" t="s">
        <v>1320</v>
      </c>
      <c r="F23" s="574"/>
      <c r="G23" s="574"/>
      <c r="H23" s="631"/>
      <c r="I23" s="574" t="s">
        <v>1319</v>
      </c>
    </row>
    <row r="24" spans="2:10">
      <c r="B24" s="285"/>
      <c r="C24" s="575" t="s">
        <v>2075</v>
      </c>
      <c r="D24" s="632" t="s">
        <v>1322</v>
      </c>
      <c r="E24" s="574" t="s">
        <v>1323</v>
      </c>
      <c r="F24" s="574"/>
      <c r="G24" s="574"/>
      <c r="H24" s="631"/>
      <c r="I24" s="574"/>
    </row>
    <row r="25" spans="2:10">
      <c r="B25" s="285"/>
      <c r="C25" s="286"/>
      <c r="E25" s="289"/>
      <c r="F25" s="289"/>
      <c r="G25" s="289"/>
      <c r="H25" s="287"/>
      <c r="I25" s="289"/>
    </row>
    <row r="26" spans="2:10">
      <c r="B26" s="285"/>
      <c r="C26" s="289" t="s">
        <v>2076</v>
      </c>
      <c r="D26" s="289" t="s">
        <v>2156</v>
      </c>
      <c r="E26" s="289" t="s">
        <v>1320</v>
      </c>
      <c r="F26" s="289" t="s">
        <v>2157</v>
      </c>
      <c r="G26" s="289"/>
      <c r="H26" s="289"/>
      <c r="I26" s="286" t="s">
        <v>2074</v>
      </c>
    </row>
    <row r="27" spans="2:10">
      <c r="B27" s="285"/>
      <c r="C27" s="289" t="s">
        <v>2076</v>
      </c>
      <c r="D27" s="289" t="s">
        <v>2086</v>
      </c>
      <c r="E27" s="289" t="s">
        <v>1320</v>
      </c>
      <c r="F27" s="289"/>
      <c r="G27" s="289"/>
      <c r="H27" s="287"/>
      <c r="I27" s="289"/>
    </row>
    <row r="28" spans="2:10">
      <c r="B28" s="285"/>
      <c r="C28" s="635"/>
      <c r="E28" s="289"/>
      <c r="F28" s="289"/>
      <c r="G28" s="289"/>
      <c r="H28" s="287"/>
      <c r="I28" s="289"/>
    </row>
    <row r="29" spans="2:10">
      <c r="B29" s="634" t="s">
        <v>2091</v>
      </c>
      <c r="C29" s="286" t="s">
        <v>2081</v>
      </c>
      <c r="D29" s="286" t="s">
        <v>430</v>
      </c>
      <c r="E29" s="549" t="s">
        <v>2079</v>
      </c>
      <c r="F29" s="619" t="s">
        <v>2080</v>
      </c>
      <c r="G29" s="633" t="s">
        <v>2077</v>
      </c>
      <c r="H29" s="287" t="s">
        <v>2084</v>
      </c>
      <c r="I29" s="634" t="s">
        <v>1312</v>
      </c>
      <c r="J29" s="618" t="s">
        <v>2158</v>
      </c>
    </row>
    <row r="30" spans="2:10">
      <c r="B30" s="634" t="s">
        <v>2091</v>
      </c>
      <c r="C30" s="286" t="s">
        <v>2081</v>
      </c>
      <c r="D30" s="286" t="s">
        <v>2082</v>
      </c>
      <c r="E30" s="286" t="s">
        <v>2083</v>
      </c>
      <c r="F30" s="286"/>
      <c r="G30" s="633" t="s">
        <v>2077</v>
      </c>
      <c r="H30" s="287" t="s">
        <v>2084</v>
      </c>
      <c r="I30" s="289" t="s">
        <v>2078</v>
      </c>
    </row>
    <row r="31" spans="2:10">
      <c r="B31" s="289"/>
      <c r="C31" s="286" t="s">
        <v>1318</v>
      </c>
      <c r="D31" s="286" t="s">
        <v>1317</v>
      </c>
      <c r="E31" s="289" t="s">
        <v>1310</v>
      </c>
      <c r="F31" s="286"/>
      <c r="G31" s="633" t="s">
        <v>2077</v>
      </c>
      <c r="H31" s="620" t="s">
        <v>2085</v>
      </c>
      <c r="I31" s="289" t="s">
        <v>1312</v>
      </c>
    </row>
    <row r="37" spans="3:12">
      <c r="C37" s="289" t="s">
        <v>964</v>
      </c>
      <c r="D37" s="289" t="s">
        <v>965</v>
      </c>
      <c r="E37" s="289">
        <v>230185</v>
      </c>
      <c r="F37" s="289" t="s">
        <v>966</v>
      </c>
      <c r="G37" s="289" t="s">
        <v>968</v>
      </c>
      <c r="H37" s="287" t="s">
        <v>311</v>
      </c>
      <c r="I37" s="289"/>
      <c r="L37" s="621"/>
    </row>
    <row r="38" spans="3:12">
      <c r="C38" s="289" t="s">
        <v>964</v>
      </c>
      <c r="D38" s="289" t="s">
        <v>967</v>
      </c>
      <c r="E38" s="289">
        <v>260488</v>
      </c>
      <c r="F38" s="289" t="s">
        <v>966</v>
      </c>
      <c r="G38" s="289" t="s">
        <v>968</v>
      </c>
      <c r="H38" s="287" t="s">
        <v>311</v>
      </c>
      <c r="I38" s="289"/>
    </row>
    <row r="40" spans="3:12">
      <c r="C40" s="286" t="s">
        <v>1589</v>
      </c>
      <c r="D40" s="286" t="s">
        <v>445</v>
      </c>
      <c r="E40" s="286" t="s">
        <v>459</v>
      </c>
      <c r="F40" s="289"/>
      <c r="G40" s="289"/>
      <c r="H40" s="287" t="s">
        <v>311</v>
      </c>
      <c r="I40" s="289"/>
    </row>
    <row r="41" spans="3:12">
      <c r="C41" s="286" t="s">
        <v>1589</v>
      </c>
      <c r="D41" s="286" t="s">
        <v>460</v>
      </c>
      <c r="E41" s="286" t="s">
        <v>461</v>
      </c>
      <c r="F41" s="289"/>
      <c r="G41" s="289"/>
      <c r="H41" s="287" t="s">
        <v>311</v>
      </c>
      <c r="I41" s="289"/>
    </row>
    <row r="42" spans="3:12">
      <c r="C42" s="289" t="s">
        <v>535</v>
      </c>
      <c r="D42" s="289" t="s">
        <v>512</v>
      </c>
      <c r="E42" s="289" t="s">
        <v>359</v>
      </c>
      <c r="F42" s="289"/>
      <c r="G42" s="289"/>
      <c r="H42" s="287" t="s">
        <v>311</v>
      </c>
      <c r="I42" s="289"/>
    </row>
    <row r="44" spans="3:12">
      <c r="C44" s="286" t="s">
        <v>1587</v>
      </c>
      <c r="D44" s="289" t="s">
        <v>542</v>
      </c>
      <c r="E44" s="286" t="s">
        <v>355</v>
      </c>
      <c r="F44" s="289"/>
      <c r="G44" s="289" t="s">
        <v>1588</v>
      </c>
      <c r="H44" s="287" t="s">
        <v>311</v>
      </c>
      <c r="I44" s="289"/>
    </row>
    <row r="46" spans="3:12">
      <c r="C46" s="289" t="s">
        <v>1584</v>
      </c>
      <c r="D46" s="289" t="s">
        <v>883</v>
      </c>
      <c r="E46" s="286" t="s">
        <v>2070</v>
      </c>
      <c r="F46" s="289"/>
      <c r="G46" s="289"/>
      <c r="H46" s="289"/>
      <c r="I46" s="286" t="s">
        <v>884</v>
      </c>
    </row>
    <row r="47" spans="3:12">
      <c r="C47" s="289" t="s">
        <v>973</v>
      </c>
      <c r="D47" s="289">
        <v>106935436</v>
      </c>
      <c r="E47" s="289" t="s">
        <v>2072</v>
      </c>
      <c r="F47" s="289" t="s">
        <v>2071</v>
      </c>
      <c r="G47" s="618" t="s">
        <v>2073</v>
      </c>
      <c r="H47" s="287" t="s">
        <v>311</v>
      </c>
      <c r="I47" s="289"/>
    </row>
    <row r="48" spans="3:12">
      <c r="C48" s="286" t="s">
        <v>1586</v>
      </c>
      <c r="D48" s="286" t="s">
        <v>373</v>
      </c>
      <c r="E48" s="286" t="s">
        <v>353</v>
      </c>
      <c r="F48" s="289"/>
      <c r="G48" s="289"/>
      <c r="H48" s="289"/>
      <c r="I48" s="286" t="s">
        <v>1585</v>
      </c>
    </row>
    <row r="50" spans="2:10">
      <c r="B50" s="502" t="s">
        <v>1699</v>
      </c>
      <c r="C50" s="286" t="s">
        <v>322</v>
      </c>
      <c r="D50" s="286" t="s">
        <v>470</v>
      </c>
      <c r="E50" s="286" t="s">
        <v>2079</v>
      </c>
      <c r="F50" s="286"/>
      <c r="G50" s="286" t="s">
        <v>2185</v>
      </c>
      <c r="H50" s="287" t="s">
        <v>311</v>
      </c>
      <c r="I50" s="289" t="s">
        <v>1067</v>
      </c>
      <c r="J50" s="286" t="s">
        <v>2184</v>
      </c>
    </row>
    <row r="51" spans="2:10">
      <c r="C51" s="286" t="s">
        <v>1349</v>
      </c>
      <c r="D51" s="286" t="s">
        <v>1348</v>
      </c>
      <c r="E51" s="286"/>
      <c r="F51" s="286" t="s">
        <v>1350</v>
      </c>
      <c r="G51" s="286"/>
      <c r="H51" s="287"/>
      <c r="I51" s="289"/>
    </row>
    <row r="52" spans="2:10">
      <c r="C52" s="286" t="s">
        <v>1351</v>
      </c>
      <c r="D52" s="286" t="s">
        <v>1352</v>
      </c>
      <c r="E52" s="286"/>
      <c r="F52" s="286" t="s">
        <v>1353</v>
      </c>
      <c r="G52" s="286" t="s">
        <v>1354</v>
      </c>
      <c r="H52" s="287"/>
      <c r="I52" s="289"/>
    </row>
    <row r="54" spans="2:10">
      <c r="C54" s="286" t="s">
        <v>902</v>
      </c>
      <c r="D54" s="286" t="s">
        <v>901</v>
      </c>
      <c r="E54" s="286" t="s">
        <v>2019</v>
      </c>
      <c r="F54" s="286"/>
      <c r="G54" s="286"/>
      <c r="H54" s="287"/>
      <c r="I54" s="286"/>
    </row>
    <row r="55" spans="2:10">
      <c r="C55" s="286" t="s">
        <v>1356</v>
      </c>
      <c r="D55" s="286" t="s">
        <v>901</v>
      </c>
      <c r="E55" s="286" t="s">
        <v>1355</v>
      </c>
      <c r="F55" s="286"/>
      <c r="G55" s="286"/>
      <c r="H55" s="287" t="s">
        <v>311</v>
      </c>
      <c r="I55" s="286"/>
    </row>
    <row r="57" spans="2:10">
      <c r="B57" s="285"/>
    </row>
    <row r="58" spans="2:10" ht="15.75">
      <c r="B58" s="458" t="s">
        <v>1582</v>
      </c>
      <c r="C58" s="457"/>
      <c r="D58" s="457"/>
    </row>
    <row r="59" spans="2:10">
      <c r="C59" s="286" t="s">
        <v>435</v>
      </c>
      <c r="D59" s="286" t="s">
        <v>857</v>
      </c>
      <c r="E59" s="286" t="s">
        <v>858</v>
      </c>
      <c r="F59" s="286"/>
      <c r="G59" s="286" t="s">
        <v>1019</v>
      </c>
      <c r="H59" s="286" t="s">
        <v>661</v>
      </c>
      <c r="I59" s="286" t="s">
        <v>434</v>
      </c>
    </row>
    <row r="60" spans="2:10">
      <c r="C60" s="286" t="s">
        <v>1020</v>
      </c>
      <c r="D60" s="286"/>
      <c r="E60" s="292"/>
      <c r="F60" s="286"/>
      <c r="G60" s="286" t="s">
        <v>1019</v>
      </c>
      <c r="H60" s="292"/>
      <c r="I60" s="286"/>
    </row>
    <row r="61" spans="2:10">
      <c r="C61" s="286" t="s">
        <v>892</v>
      </c>
      <c r="D61" s="286" t="s">
        <v>893</v>
      </c>
      <c r="E61" s="290"/>
      <c r="F61" s="286"/>
      <c r="G61" s="286"/>
      <c r="H61" s="287"/>
      <c r="I61" s="286"/>
    </row>
    <row r="62" spans="2:10">
      <c r="C62" s="286" t="s">
        <v>447</v>
      </c>
      <c r="D62" s="286" t="s">
        <v>430</v>
      </c>
      <c r="E62" s="286" t="s">
        <v>1022</v>
      </c>
      <c r="F62" s="286" t="s">
        <v>1023</v>
      </c>
      <c r="G62" s="286" t="s">
        <v>1021</v>
      </c>
      <c r="H62" s="287" t="s">
        <v>311</v>
      </c>
      <c r="I62" s="286"/>
    </row>
    <row r="63" spans="2:10">
      <c r="C63" s="459"/>
      <c r="D63" s="459"/>
      <c r="E63" s="459"/>
      <c r="F63" s="459"/>
      <c r="G63" s="459"/>
      <c r="H63" s="459"/>
      <c r="I63" s="459"/>
    </row>
    <row r="64" spans="2:10">
      <c r="C64" s="289" t="s">
        <v>1576</v>
      </c>
      <c r="D64" s="289" t="s">
        <v>1060</v>
      </c>
      <c r="E64" s="289"/>
      <c r="F64" s="289"/>
      <c r="G64" s="289"/>
      <c r="H64" s="289" t="s">
        <v>1953</v>
      </c>
      <c r="I64" s="289"/>
    </row>
    <row r="65" spans="1:9">
      <c r="C65" s="289" t="s">
        <v>1577</v>
      </c>
      <c r="D65" s="289"/>
      <c r="E65" s="289"/>
      <c r="F65" s="289"/>
      <c r="G65" s="289"/>
      <c r="H65" s="289"/>
      <c r="I65" s="289"/>
    </row>
    <row r="66" spans="1:9">
      <c r="C66" s="289" t="s">
        <v>1472</v>
      </c>
      <c r="D66" s="289" t="s">
        <v>12</v>
      </c>
      <c r="E66" s="290" t="s">
        <v>1473</v>
      </c>
      <c r="F66" s="289"/>
      <c r="G66" s="289"/>
      <c r="H66" s="289"/>
      <c r="I66" s="289"/>
    </row>
    <row r="67" spans="1:9">
      <c r="C67" s="289" t="s">
        <v>1640</v>
      </c>
      <c r="D67" s="289" t="s">
        <v>1641</v>
      </c>
      <c r="E67" s="286" t="s">
        <v>1642</v>
      </c>
      <c r="F67" s="289" t="s">
        <v>1643</v>
      </c>
      <c r="G67" s="289"/>
      <c r="H67" s="289"/>
      <c r="I67" s="289"/>
    </row>
    <row r="68" spans="1:9">
      <c r="E68" s="466"/>
    </row>
    <row r="69" spans="1:9">
      <c r="C69" s="286" t="s">
        <v>327</v>
      </c>
      <c r="D69" s="286" t="s">
        <v>430</v>
      </c>
      <c r="E69" s="286" t="s">
        <v>442</v>
      </c>
      <c r="F69" s="286"/>
      <c r="G69" s="286" t="s">
        <v>328</v>
      </c>
      <c r="H69" s="289"/>
      <c r="I69" s="289"/>
    </row>
    <row r="70" spans="1:9">
      <c r="A70" s="459"/>
      <c r="C70" s="459"/>
      <c r="D70" s="459"/>
      <c r="E70" s="459"/>
      <c r="F70" s="459"/>
      <c r="G70" s="459"/>
      <c r="H70" s="459"/>
      <c r="I70" s="459"/>
    </row>
    <row r="71" spans="1:9">
      <c r="C71" s="286" t="s">
        <v>466</v>
      </c>
      <c r="D71" s="286" t="s">
        <v>436</v>
      </c>
      <c r="E71" s="286" t="s">
        <v>437</v>
      </c>
      <c r="F71" s="286" t="s">
        <v>439</v>
      </c>
      <c r="G71" s="286"/>
      <c r="H71" s="287" t="s">
        <v>311</v>
      </c>
      <c r="I71" s="286" t="s">
        <v>463</v>
      </c>
    </row>
    <row r="72" spans="1:9">
      <c r="C72" s="286" t="s">
        <v>435</v>
      </c>
      <c r="D72" s="286" t="s">
        <v>436</v>
      </c>
      <c r="E72" s="286" t="s">
        <v>437</v>
      </c>
      <c r="F72" s="286" t="s">
        <v>438</v>
      </c>
      <c r="G72" s="286"/>
      <c r="H72" s="287" t="s">
        <v>311</v>
      </c>
      <c r="I72" s="286"/>
    </row>
    <row r="73" spans="1:9">
      <c r="C73" s="286" t="s">
        <v>465</v>
      </c>
      <c r="D73" s="286" t="s">
        <v>440</v>
      </c>
      <c r="E73" s="286" t="s">
        <v>353</v>
      </c>
      <c r="F73" s="286" t="s">
        <v>439</v>
      </c>
      <c r="G73" s="286" t="s">
        <v>464</v>
      </c>
      <c r="H73" s="287" t="s">
        <v>311</v>
      </c>
      <c r="I73" s="286" t="s">
        <v>467</v>
      </c>
    </row>
    <row r="74" spans="1:9">
      <c r="C74" s="460"/>
      <c r="D74" s="460"/>
      <c r="E74" s="460"/>
      <c r="F74" s="460"/>
      <c r="G74" s="460"/>
      <c r="H74" s="461"/>
      <c r="I74" s="460"/>
    </row>
    <row r="75" spans="1:9">
      <c r="C75" s="289" t="s">
        <v>624</v>
      </c>
      <c r="D75" s="286" t="s">
        <v>625</v>
      </c>
      <c r="E75" s="289" t="s">
        <v>430</v>
      </c>
      <c r="F75" s="286" t="s">
        <v>355</v>
      </c>
      <c r="G75" s="286" t="s">
        <v>626</v>
      </c>
      <c r="H75" s="289"/>
      <c r="I75" s="289"/>
    </row>
    <row r="76" spans="1:9">
      <c r="C76" s="289" t="s">
        <v>623</v>
      </c>
      <c r="D76" s="286" t="s">
        <v>622</v>
      </c>
      <c r="E76" s="289" t="s">
        <v>430</v>
      </c>
      <c r="F76" s="286" t="s">
        <v>355</v>
      </c>
      <c r="G76" s="289"/>
      <c r="H76" s="289"/>
      <c r="I76" s="289"/>
    </row>
    <row r="77" spans="1:9">
      <c r="C77" s="289" t="s">
        <v>775</v>
      </c>
      <c r="D77" s="289" t="s">
        <v>776</v>
      </c>
      <c r="E77" s="289"/>
      <c r="F77" s="289"/>
      <c r="G77" s="289"/>
      <c r="H77" s="289"/>
      <c r="I77" s="289"/>
    </row>
    <row r="79" spans="1:9">
      <c r="C79" s="289" t="s">
        <v>1852</v>
      </c>
      <c r="D79" s="289" t="s">
        <v>430</v>
      </c>
      <c r="E79" s="289" t="s">
        <v>267</v>
      </c>
      <c r="F79" s="289" t="s">
        <v>1853</v>
      </c>
      <c r="G79" s="289"/>
      <c r="H79" s="289"/>
      <c r="I79" s="289" t="s">
        <v>1851</v>
      </c>
    </row>
    <row r="80" spans="1:9">
      <c r="C80" s="289" t="s">
        <v>1855</v>
      </c>
      <c r="D80" s="289" t="s">
        <v>1856</v>
      </c>
      <c r="E80" s="289"/>
      <c r="F80" s="289" t="s">
        <v>1857</v>
      </c>
      <c r="G80" s="289"/>
      <c r="H80" s="289"/>
      <c r="I80" s="289"/>
    </row>
    <row r="82" spans="2:9" ht="15.75">
      <c r="B82" s="458" t="s">
        <v>1583</v>
      </c>
    </row>
    <row r="83" spans="2:9">
      <c r="B83" s="285"/>
      <c r="C83" s="289" t="s">
        <v>1636</v>
      </c>
      <c r="D83" s="286" t="s">
        <v>667</v>
      </c>
      <c r="E83" s="289"/>
      <c r="F83" s="289"/>
      <c r="G83" s="289"/>
      <c r="H83" s="289"/>
      <c r="I83" s="289"/>
    </row>
    <row r="84" spans="2:9">
      <c r="B84" s="285"/>
      <c r="C84" s="289" t="s">
        <v>1635</v>
      </c>
      <c r="D84" s="286" t="s">
        <v>1637</v>
      </c>
      <c r="E84" s="289"/>
      <c r="F84" s="289"/>
      <c r="G84" s="289"/>
      <c r="H84" s="289"/>
      <c r="I84" s="289"/>
    </row>
    <row r="85" spans="2:9">
      <c r="B85" s="285"/>
      <c r="C85" s="574" t="s">
        <v>665</v>
      </c>
      <c r="D85" s="575" t="s">
        <v>666</v>
      </c>
      <c r="E85" s="574"/>
      <c r="F85" s="574"/>
      <c r="G85" s="574"/>
      <c r="H85" s="574"/>
      <c r="I85" s="574"/>
    </row>
    <row r="86" spans="2:9">
      <c r="B86" s="285"/>
      <c r="C86" s="289" t="s">
        <v>1032</v>
      </c>
      <c r="D86" s="286" t="s">
        <v>1115</v>
      </c>
      <c r="E86" s="289"/>
      <c r="F86" s="289" t="s">
        <v>1854</v>
      </c>
      <c r="G86" s="289"/>
      <c r="H86" s="289"/>
      <c r="I86" s="289"/>
    </row>
    <row r="87" spans="2:9">
      <c r="B87" s="285"/>
    </row>
    <row r="88" spans="2:9">
      <c r="B88" s="285"/>
      <c r="C88" s="289" t="s">
        <v>764</v>
      </c>
      <c r="D88" s="289" t="s">
        <v>769</v>
      </c>
      <c r="E88" s="289" t="s">
        <v>765</v>
      </c>
      <c r="F88" s="289" t="s">
        <v>766</v>
      </c>
      <c r="G88" s="289" t="s">
        <v>770</v>
      </c>
      <c r="H88" s="289"/>
      <c r="I88" s="289"/>
    </row>
    <row r="89" spans="2:9">
      <c r="B89" s="285"/>
      <c r="C89" s="289" t="s">
        <v>764</v>
      </c>
      <c r="D89" s="289" t="s">
        <v>768</v>
      </c>
      <c r="E89" s="289" t="s">
        <v>765</v>
      </c>
      <c r="F89" s="289" t="s">
        <v>767</v>
      </c>
      <c r="G89" s="289" t="s">
        <v>770</v>
      </c>
      <c r="H89" s="289"/>
      <c r="I89" s="289"/>
    </row>
    <row r="90" spans="2:9">
      <c r="B90" s="285"/>
    </row>
    <row r="91" spans="2:9">
      <c r="C91" s="286" t="s">
        <v>1590</v>
      </c>
      <c r="D91" s="286" t="s">
        <v>1063</v>
      </c>
      <c r="E91" s="286" t="s">
        <v>314</v>
      </c>
      <c r="F91" s="286"/>
      <c r="G91" s="286" t="s">
        <v>1064</v>
      </c>
      <c r="H91" s="286"/>
      <c r="I91" s="289"/>
    </row>
    <row r="92" spans="2:9">
      <c r="C92" s="460"/>
      <c r="D92" s="460"/>
      <c r="E92" s="460"/>
      <c r="F92" s="460"/>
      <c r="G92" s="460"/>
      <c r="H92" s="460"/>
    </row>
    <row r="93" spans="2:9">
      <c r="C93" s="286" t="s">
        <v>1659</v>
      </c>
      <c r="D93" s="286" t="s">
        <v>1660</v>
      </c>
      <c r="E93" s="286"/>
      <c r="F93" s="286" t="s">
        <v>982</v>
      </c>
      <c r="G93" s="286"/>
      <c r="H93" s="286"/>
      <c r="I93" s="286" t="s">
        <v>1658</v>
      </c>
    </row>
    <row r="94" spans="2:9">
      <c r="C94" s="289"/>
      <c r="D94" s="289"/>
      <c r="E94" s="289"/>
      <c r="F94" s="289"/>
      <c r="G94" s="289"/>
      <c r="H94" s="289"/>
      <c r="I94" s="289"/>
    </row>
    <row r="95" spans="2:9">
      <c r="B95" s="285"/>
      <c r="C95" s="289" t="s">
        <v>1795</v>
      </c>
      <c r="D95" s="286" t="s">
        <v>1794</v>
      </c>
      <c r="E95" s="289"/>
      <c r="F95" s="289"/>
      <c r="G95" s="289"/>
      <c r="H95" s="289"/>
      <c r="I95" s="289" t="s">
        <v>1793</v>
      </c>
    </row>
    <row r="96" spans="2:9">
      <c r="B96" s="285"/>
      <c r="C96" s="289" t="s">
        <v>1795</v>
      </c>
      <c r="D96" s="286" t="s">
        <v>1797</v>
      </c>
      <c r="E96" s="289"/>
      <c r="F96" s="289"/>
      <c r="G96" s="289"/>
      <c r="H96" s="289"/>
      <c r="I96" s="286" t="s">
        <v>1796</v>
      </c>
    </row>
    <row r="97" spans="2:9">
      <c r="B97" s="285"/>
      <c r="D97" s="460"/>
      <c r="I97" s="460"/>
    </row>
    <row r="98" spans="2:9">
      <c r="B98" s="285"/>
      <c r="C98" s="289" t="s">
        <v>2087</v>
      </c>
      <c r="D98" s="289" t="s">
        <v>2088</v>
      </c>
      <c r="E98" s="286" t="s">
        <v>369</v>
      </c>
      <c r="F98" s="289" t="s">
        <v>2090</v>
      </c>
      <c r="H98" s="289">
        <v>311793269</v>
      </c>
      <c r="I98" s="286" t="s">
        <v>2089</v>
      </c>
    </row>
    <row r="99" spans="2:9">
      <c r="B99" s="285"/>
      <c r="D99" s="460"/>
      <c r="I99" s="460"/>
    </row>
    <row r="100" spans="2:9">
      <c r="B100" s="285"/>
      <c r="C100" s="289" t="s">
        <v>2159</v>
      </c>
      <c r="D100" s="289" t="s">
        <v>644</v>
      </c>
      <c r="E100" s="289" t="s">
        <v>2161</v>
      </c>
      <c r="F100" s="289" t="s">
        <v>2160</v>
      </c>
      <c r="G100" s="289"/>
      <c r="H100" s="289"/>
      <c r="I100" s="286" t="s">
        <v>2162</v>
      </c>
    </row>
    <row r="102" spans="2:9" ht="15.75">
      <c r="B102" s="458" t="s">
        <v>1578</v>
      </c>
      <c r="C102" s="467"/>
    </row>
    <row r="104" spans="2:9" ht="15.75">
      <c r="C104" s="458" t="s">
        <v>1744</v>
      </c>
      <c r="D104" s="289" t="s">
        <v>1741</v>
      </c>
      <c r="E104" s="289"/>
      <c r="F104" s="289"/>
      <c r="G104" s="289"/>
      <c r="H104" s="289"/>
      <c r="I104" s="289"/>
    </row>
    <row r="105" spans="2:9">
      <c r="C105" s="286" t="s">
        <v>1765</v>
      </c>
      <c r="D105" s="286" t="s">
        <v>314</v>
      </c>
      <c r="E105" s="286" t="s">
        <v>2277</v>
      </c>
      <c r="F105" s="286" t="s">
        <v>1739</v>
      </c>
      <c r="G105" s="286" t="s">
        <v>1736</v>
      </c>
      <c r="H105" s="286" t="s">
        <v>1735</v>
      </c>
      <c r="I105" s="286" t="s">
        <v>1000</v>
      </c>
    </row>
    <row r="106" spans="2:9">
      <c r="C106" s="286" t="s">
        <v>1734</v>
      </c>
      <c r="D106" s="286" t="s">
        <v>314</v>
      </c>
      <c r="E106" s="460" t="s">
        <v>1951</v>
      </c>
      <c r="F106" s="287" t="s">
        <v>1950</v>
      </c>
      <c r="G106" s="287"/>
      <c r="H106" s="286"/>
      <c r="I106" s="286" t="s">
        <v>1733</v>
      </c>
    </row>
    <row r="107" spans="2:9">
      <c r="C107" s="286" t="s">
        <v>1751</v>
      </c>
      <c r="D107" s="286" t="s">
        <v>1752</v>
      </c>
      <c r="E107" s="286"/>
      <c r="F107" s="514" t="s">
        <v>1753</v>
      </c>
      <c r="G107" s="286"/>
      <c r="H107" s="286"/>
      <c r="I107" s="286" t="s">
        <v>1750</v>
      </c>
    </row>
    <row r="108" spans="2:9">
      <c r="C108" s="286" t="s">
        <v>2278</v>
      </c>
      <c r="D108" s="286" t="s">
        <v>314</v>
      </c>
      <c r="E108" s="549" t="s">
        <v>2279</v>
      </c>
      <c r="F108" s="286" t="s">
        <v>2280</v>
      </c>
      <c r="H108" s="286"/>
      <c r="I108" s="286" t="s">
        <v>999</v>
      </c>
    </row>
    <row r="109" spans="2:9">
      <c r="C109" s="286" t="s">
        <v>2281</v>
      </c>
      <c r="D109" s="286" t="s">
        <v>314</v>
      </c>
      <c r="E109" s="549" t="s">
        <v>2279</v>
      </c>
      <c r="F109" s="286" t="s">
        <v>2280</v>
      </c>
      <c r="G109" s="286"/>
      <c r="H109" s="286"/>
      <c r="I109" s="286" t="s">
        <v>1591</v>
      </c>
    </row>
    <row r="110" spans="2:9">
      <c r="C110" s="286" t="s">
        <v>2282</v>
      </c>
      <c r="D110" s="286" t="s">
        <v>903</v>
      </c>
      <c r="E110" s="286" t="s">
        <v>499</v>
      </c>
      <c r="F110" s="286" t="s">
        <v>441</v>
      </c>
      <c r="G110" s="289" t="s">
        <v>904</v>
      </c>
      <c r="H110" s="286"/>
      <c r="I110" s="286" t="s">
        <v>317</v>
      </c>
    </row>
    <row r="111" spans="2:9">
      <c r="B111" s="285"/>
    </row>
    <row r="112" spans="2:9">
      <c r="C112" s="286" t="s">
        <v>1767</v>
      </c>
      <c r="D112" s="286" t="s">
        <v>1766</v>
      </c>
      <c r="E112" s="286"/>
      <c r="F112" s="286"/>
      <c r="G112" s="286"/>
      <c r="H112" s="286"/>
      <c r="I112" s="286" t="s">
        <v>1746</v>
      </c>
    </row>
    <row r="113" spans="3:9">
      <c r="C113" s="286" t="s">
        <v>1768</v>
      </c>
      <c r="D113" s="286" t="s">
        <v>314</v>
      </c>
      <c r="E113" s="549" t="s">
        <v>1769</v>
      </c>
      <c r="F113" s="286"/>
      <c r="G113" s="286"/>
      <c r="H113" s="286"/>
      <c r="I113" s="286" t="s">
        <v>1750</v>
      </c>
    </row>
    <row r="114" spans="3:9">
      <c r="C114" s="286" t="s">
        <v>1816</v>
      </c>
      <c r="D114" s="286" t="s">
        <v>430</v>
      </c>
      <c r="E114" s="286" t="s">
        <v>369</v>
      </c>
      <c r="F114" s="286" t="s">
        <v>1817</v>
      </c>
      <c r="G114" s="286"/>
      <c r="H114" s="286"/>
      <c r="I114" s="286" t="s">
        <v>1815</v>
      </c>
    </row>
    <row r="115" spans="3:9">
      <c r="C115" s="289"/>
      <c r="D115" s="289"/>
      <c r="E115" s="289"/>
      <c r="F115" s="289"/>
      <c r="G115" s="289"/>
      <c r="H115" s="289"/>
      <c r="I115" s="289"/>
    </row>
    <row r="116" spans="3:9" ht="15.75">
      <c r="C116" s="458" t="s">
        <v>1745</v>
      </c>
      <c r="D116" s="289" t="s">
        <v>1740</v>
      </c>
      <c r="E116" s="289"/>
      <c r="F116" s="289"/>
      <c r="G116" s="289"/>
      <c r="H116" s="289"/>
      <c r="I116" s="289"/>
    </row>
    <row r="117" spans="3:9">
      <c r="C117" s="286" t="s">
        <v>1730</v>
      </c>
      <c r="D117" s="286" t="s">
        <v>428</v>
      </c>
      <c r="E117" s="286" t="s">
        <v>1737</v>
      </c>
      <c r="F117" s="286" t="s">
        <v>443</v>
      </c>
      <c r="G117" s="286" t="s">
        <v>1728</v>
      </c>
      <c r="H117" s="286" t="s">
        <v>1729</v>
      </c>
      <c r="I117" s="286" t="s">
        <v>1000</v>
      </c>
    </row>
    <row r="118" spans="3:9">
      <c r="C118" s="286" t="s">
        <v>1734</v>
      </c>
      <c r="D118" s="286" t="s">
        <v>428</v>
      </c>
      <c r="E118" s="286"/>
      <c r="F118" s="286"/>
      <c r="G118" s="286"/>
      <c r="H118" s="286"/>
      <c r="I118" s="286" t="s">
        <v>1732</v>
      </c>
    </row>
    <row r="119" spans="3:9">
      <c r="C119" s="286" t="s">
        <v>451</v>
      </c>
      <c r="D119" s="289" t="s">
        <v>513</v>
      </c>
      <c r="E119" s="286" t="s">
        <v>511</v>
      </c>
      <c r="F119" s="286" t="s">
        <v>441</v>
      </c>
      <c r="G119" s="286" t="s">
        <v>428</v>
      </c>
      <c r="H119" s="286"/>
      <c r="I119" s="286" t="s">
        <v>316</v>
      </c>
    </row>
    <row r="120" spans="3:9">
      <c r="C120" s="286" t="s">
        <v>500</v>
      </c>
      <c r="D120" s="286" t="s">
        <v>428</v>
      </c>
      <c r="E120" s="286" t="s">
        <v>1737</v>
      </c>
      <c r="F120" s="286"/>
      <c r="G120" s="286"/>
      <c r="H120" s="286"/>
      <c r="I120" s="286"/>
    </row>
    <row r="121" spans="3:9">
      <c r="C121" s="286"/>
      <c r="D121" s="289"/>
      <c r="E121" s="286"/>
      <c r="F121" s="286"/>
      <c r="G121" s="286"/>
      <c r="H121" s="286"/>
      <c r="I121" s="286"/>
    </row>
    <row r="122" spans="3:9" ht="15.75">
      <c r="C122" s="458" t="s">
        <v>1738</v>
      </c>
      <c r="D122" s="289" t="s">
        <v>1742</v>
      </c>
      <c r="E122" s="286"/>
      <c r="F122" s="286"/>
      <c r="G122" s="286"/>
      <c r="H122" s="286"/>
      <c r="I122" s="286"/>
    </row>
    <row r="123" spans="3:9">
      <c r="C123" s="286" t="s">
        <v>451</v>
      </c>
      <c r="D123" s="286" t="s">
        <v>1141</v>
      </c>
      <c r="E123" s="286" t="s">
        <v>1139</v>
      </c>
      <c r="F123" s="286"/>
      <c r="G123" s="289" t="s">
        <v>1140</v>
      </c>
      <c r="H123" s="286"/>
      <c r="I123" s="286"/>
    </row>
    <row r="124" spans="3:9">
      <c r="C124" s="286" t="s">
        <v>1749</v>
      </c>
      <c r="D124" s="286" t="s">
        <v>1747</v>
      </c>
      <c r="E124" s="286" t="s">
        <v>369</v>
      </c>
      <c r="F124" s="286" t="s">
        <v>1748</v>
      </c>
      <c r="G124" s="289"/>
      <c r="H124" s="286"/>
      <c r="I124" s="286" t="s">
        <v>1746</v>
      </c>
    </row>
    <row r="125" spans="3:9">
      <c r="C125" s="469" t="s">
        <v>451</v>
      </c>
      <c r="D125" s="469" t="s">
        <v>443</v>
      </c>
      <c r="E125" s="469" t="s">
        <v>442</v>
      </c>
      <c r="F125" s="469" t="s">
        <v>441</v>
      </c>
      <c r="G125" s="469" t="s">
        <v>510</v>
      </c>
      <c r="H125" s="469"/>
      <c r="I125" s="469" t="s">
        <v>318</v>
      </c>
    </row>
    <row r="126" spans="3:9">
      <c r="C126" s="289" t="s">
        <v>2245</v>
      </c>
      <c r="D126" s="289" t="s">
        <v>430</v>
      </c>
      <c r="E126" s="286" t="s">
        <v>369</v>
      </c>
      <c r="F126" s="289"/>
      <c r="G126" s="289"/>
      <c r="H126" s="289"/>
      <c r="I126" s="289"/>
    </row>
    <row r="127" spans="3:9">
      <c r="C127" s="289" t="s">
        <v>2246</v>
      </c>
      <c r="D127" s="286" t="s">
        <v>2247</v>
      </c>
      <c r="E127" s="286" t="s">
        <v>369</v>
      </c>
      <c r="F127" s="289"/>
      <c r="G127" s="289"/>
      <c r="H127" s="289"/>
      <c r="I127" s="289" t="s">
        <v>2248</v>
      </c>
    </row>
    <row r="130" spans="3:10" ht="15.75">
      <c r="C130" s="458" t="s">
        <v>1743</v>
      </c>
      <c r="D130" s="286"/>
      <c r="E130" s="286"/>
      <c r="F130" s="286"/>
      <c r="G130" s="286"/>
      <c r="H130" s="286"/>
      <c r="I130" s="286"/>
    </row>
    <row r="131" spans="3:10">
      <c r="C131" s="286" t="s">
        <v>1730</v>
      </c>
      <c r="D131" s="286" t="s">
        <v>429</v>
      </c>
      <c r="E131" s="286" t="s">
        <v>315</v>
      </c>
      <c r="F131" s="286"/>
      <c r="G131" s="286"/>
      <c r="H131" s="286"/>
      <c r="I131" s="289"/>
    </row>
    <row r="132" spans="3:10">
      <c r="C132" s="286" t="s">
        <v>1954</v>
      </c>
      <c r="D132" s="286" t="s">
        <v>961</v>
      </c>
      <c r="E132" s="286" t="s">
        <v>1940</v>
      </c>
      <c r="F132" s="286" t="s">
        <v>962</v>
      </c>
      <c r="G132" s="286"/>
      <c r="H132" s="286"/>
      <c r="I132" s="289"/>
    </row>
    <row r="133" spans="3:10">
      <c r="G133" s="286"/>
      <c r="H133" s="286"/>
      <c r="I133" s="289"/>
    </row>
    <row r="134" spans="3:10">
      <c r="C134" s="286" t="s">
        <v>172</v>
      </c>
      <c r="D134" s="286" t="s">
        <v>12</v>
      </c>
      <c r="E134" s="286" t="s">
        <v>369</v>
      </c>
      <c r="F134" s="286"/>
      <c r="G134" s="286"/>
      <c r="H134" s="287" t="s">
        <v>311</v>
      </c>
      <c r="I134" s="286"/>
    </row>
    <row r="135" spans="3:10" s="459" customFormat="1">
      <c r="D135" s="286"/>
    </row>
    <row r="136" spans="3:10">
      <c r="C136" s="286" t="s">
        <v>811</v>
      </c>
      <c r="D136" s="286" t="s">
        <v>430</v>
      </c>
      <c r="E136" s="286" t="s">
        <v>442</v>
      </c>
      <c r="F136" s="286" t="s">
        <v>815</v>
      </c>
      <c r="G136" s="286"/>
      <c r="H136" s="286"/>
      <c r="I136" s="468">
        <v>1579463950</v>
      </c>
    </row>
    <row r="137" spans="3:10">
      <c r="C137" s="286" t="s">
        <v>811</v>
      </c>
      <c r="D137" s="286" t="s">
        <v>812</v>
      </c>
      <c r="E137" s="286" t="s">
        <v>813</v>
      </c>
      <c r="F137" s="286" t="s">
        <v>814</v>
      </c>
      <c r="G137" s="286"/>
      <c r="H137" s="286"/>
      <c r="I137" s="289"/>
    </row>
    <row r="138" spans="3:10">
      <c r="C138" s="289" t="s">
        <v>773</v>
      </c>
      <c r="D138" s="286" t="s">
        <v>774</v>
      </c>
      <c r="E138" s="289" t="s">
        <v>816</v>
      </c>
      <c r="F138" s="286"/>
      <c r="G138" s="286"/>
      <c r="H138" s="286"/>
      <c r="I138" s="289"/>
    </row>
    <row r="139" spans="3:10" s="459" customFormat="1">
      <c r="F139" s="285"/>
      <c r="J139" s="285"/>
    </row>
    <row r="140" spans="3:10">
      <c r="C140" s="286" t="s">
        <v>854</v>
      </c>
      <c r="D140" s="286" t="s">
        <v>430</v>
      </c>
      <c r="E140" s="286" t="s">
        <v>855</v>
      </c>
      <c r="F140" s="286" t="s">
        <v>856</v>
      </c>
      <c r="G140" s="286"/>
      <c r="H140" s="286"/>
      <c r="I140" s="289"/>
    </row>
    <row r="141" spans="3:10">
      <c r="C141" s="286" t="s">
        <v>854</v>
      </c>
      <c r="D141" s="286" t="s">
        <v>428</v>
      </c>
      <c r="E141" s="286" t="s">
        <v>499</v>
      </c>
      <c r="F141" s="286" t="s">
        <v>1480</v>
      </c>
      <c r="G141" s="286" t="s">
        <v>998</v>
      </c>
      <c r="H141" s="286" t="s">
        <v>1481</v>
      </c>
      <c r="I141" s="289"/>
    </row>
    <row r="142" spans="3:10" s="459" customFormat="1"/>
    <row r="143" spans="3:10">
      <c r="C143" s="286" t="s">
        <v>312</v>
      </c>
      <c r="D143" s="286" t="s">
        <v>430</v>
      </c>
      <c r="E143" s="286" t="s">
        <v>442</v>
      </c>
      <c r="F143" s="289"/>
      <c r="G143" s="286"/>
      <c r="H143" s="287" t="s">
        <v>311</v>
      </c>
      <c r="I143" s="289"/>
    </row>
    <row r="144" spans="3:10">
      <c r="C144" s="286" t="s">
        <v>507</v>
      </c>
      <c r="D144" s="289" t="s">
        <v>508</v>
      </c>
      <c r="E144" s="286" t="s">
        <v>355</v>
      </c>
      <c r="F144" s="290"/>
      <c r="G144" s="286"/>
      <c r="H144" s="287" t="s">
        <v>311</v>
      </c>
      <c r="I144" s="289"/>
    </row>
    <row r="145" spans="3:11">
      <c r="C145" s="286" t="s">
        <v>452</v>
      </c>
      <c r="D145" s="286" t="s">
        <v>354</v>
      </c>
      <c r="E145" s="286" t="s">
        <v>355</v>
      </c>
      <c r="F145" s="289"/>
      <c r="G145" s="286" t="s">
        <v>356</v>
      </c>
      <c r="H145" s="286"/>
      <c r="I145" s="289"/>
    </row>
    <row r="146" spans="3:11">
      <c r="C146" s="286" t="s">
        <v>2285</v>
      </c>
      <c r="D146" s="286" t="s">
        <v>356</v>
      </c>
      <c r="E146" s="286" t="s">
        <v>358</v>
      </c>
      <c r="F146" s="289" t="s">
        <v>2284</v>
      </c>
      <c r="G146" s="286" t="s">
        <v>356</v>
      </c>
      <c r="H146" s="286"/>
      <c r="I146" s="618" t="s">
        <v>2276</v>
      </c>
    </row>
    <row r="147" spans="3:11">
      <c r="C147" s="286" t="s">
        <v>2286</v>
      </c>
      <c r="D147" s="286" t="s">
        <v>2283</v>
      </c>
      <c r="E147" s="286"/>
      <c r="F147" s="289"/>
      <c r="G147" s="286"/>
      <c r="H147" s="286"/>
      <c r="I147" s="289"/>
    </row>
    <row r="148" spans="3:11">
      <c r="C148" s="286" t="s">
        <v>2289</v>
      </c>
      <c r="D148" s="286" t="s">
        <v>2288</v>
      </c>
      <c r="E148" s="286" t="s">
        <v>355</v>
      </c>
      <c r="F148" s="610" t="s">
        <v>2291</v>
      </c>
      <c r="G148" s="286"/>
      <c r="H148" s="286"/>
      <c r="I148" s="286" t="s">
        <v>2287</v>
      </c>
      <c r="K148" s="92" t="s">
        <v>2290</v>
      </c>
    </row>
    <row r="149" spans="3:11" s="459" customFormat="1"/>
    <row r="150" spans="3:11">
      <c r="C150" s="286" t="s">
        <v>453</v>
      </c>
      <c r="D150" s="286" t="s">
        <v>449</v>
      </c>
      <c r="E150" s="286" t="s">
        <v>315</v>
      </c>
      <c r="F150" s="286"/>
      <c r="G150" s="286"/>
      <c r="H150" s="286"/>
      <c r="I150" s="286" t="s">
        <v>450</v>
      </c>
    </row>
    <row r="151" spans="3:11" s="459" customFormat="1"/>
    <row r="152" spans="3:11">
      <c r="C152" s="286" t="s">
        <v>323</v>
      </c>
      <c r="D152" s="286" t="s">
        <v>446</v>
      </c>
      <c r="E152" s="286" t="s">
        <v>442</v>
      </c>
      <c r="F152" s="286"/>
      <c r="G152" s="286"/>
      <c r="H152" s="469" t="s">
        <v>462</v>
      </c>
      <c r="I152" s="286"/>
    </row>
    <row r="153" spans="3:11">
      <c r="C153" s="286" t="s">
        <v>324</v>
      </c>
      <c r="D153" s="286" t="s">
        <v>430</v>
      </c>
      <c r="E153" s="286" t="s">
        <v>442</v>
      </c>
      <c r="F153" s="286"/>
      <c r="G153" s="286"/>
      <c r="H153" s="469" t="s">
        <v>462</v>
      </c>
      <c r="I153" s="286"/>
    </row>
    <row r="154" spans="3:11">
      <c r="C154" s="286" t="s">
        <v>325</v>
      </c>
      <c r="D154" s="286" t="s">
        <v>430</v>
      </c>
      <c r="E154" s="286" t="s">
        <v>442</v>
      </c>
      <c r="F154" s="286"/>
      <c r="G154" s="286"/>
      <c r="H154" s="469" t="s">
        <v>462</v>
      </c>
      <c r="I154" s="286"/>
    </row>
    <row r="155" spans="3:11">
      <c r="C155" s="286" t="s">
        <v>326</v>
      </c>
      <c r="D155" s="286" t="s">
        <v>430</v>
      </c>
      <c r="E155" s="286" t="s">
        <v>442</v>
      </c>
      <c r="F155" s="286"/>
      <c r="G155" s="286"/>
      <c r="H155" s="469" t="s">
        <v>462</v>
      </c>
      <c r="I155" s="286"/>
    </row>
    <row r="156" spans="3:11">
      <c r="C156" s="289" t="s">
        <v>864</v>
      </c>
      <c r="D156" s="289" t="s">
        <v>430</v>
      </c>
      <c r="E156" s="289" t="s">
        <v>499</v>
      </c>
      <c r="F156" s="286"/>
      <c r="G156" s="286"/>
      <c r="H156" s="287" t="s">
        <v>311</v>
      </c>
      <c r="I156" s="286"/>
    </row>
    <row r="157" spans="3:11" s="459" customFormat="1"/>
    <row r="158" spans="3:11">
      <c r="C158" s="286" t="s">
        <v>319</v>
      </c>
      <c r="D158" s="286" t="s">
        <v>430</v>
      </c>
      <c r="E158" s="286" t="s">
        <v>442</v>
      </c>
      <c r="F158" s="286"/>
      <c r="G158" s="286" t="s">
        <v>320</v>
      </c>
      <c r="H158" s="469" t="s">
        <v>462</v>
      </c>
      <c r="I158" s="286"/>
    </row>
    <row r="159" spans="3:11" s="459" customFormat="1"/>
    <row r="160" spans="3:11" ht="15.75">
      <c r="C160" s="458" t="s">
        <v>2165</v>
      </c>
    </row>
    <row r="161" spans="2:9">
      <c r="D161" s="285" t="s">
        <v>430</v>
      </c>
      <c r="E161" s="460" t="s">
        <v>2166</v>
      </c>
      <c r="F161" s="285" t="s">
        <v>2167</v>
      </c>
    </row>
    <row r="164" spans="2:9" s="459" customFormat="1"/>
    <row r="166" spans="2:9" ht="15.75">
      <c r="B166" s="458" t="s">
        <v>1477</v>
      </c>
    </row>
    <row r="167" spans="2:9">
      <c r="C167" s="286" t="s">
        <v>1238</v>
      </c>
      <c r="D167" s="286" t="s">
        <v>431</v>
      </c>
      <c r="E167" s="286" t="s">
        <v>1237</v>
      </c>
      <c r="F167" s="286" t="s">
        <v>432</v>
      </c>
      <c r="G167" s="286"/>
      <c r="H167" s="287" t="s">
        <v>311</v>
      </c>
      <c r="I167" s="289"/>
    </row>
    <row r="168" spans="2:9">
      <c r="C168" s="286" t="s">
        <v>300</v>
      </c>
      <c r="D168" s="286" t="s">
        <v>433</v>
      </c>
      <c r="E168" s="286" t="s">
        <v>1574</v>
      </c>
      <c r="F168" s="286" t="s">
        <v>432</v>
      </c>
      <c r="G168" s="289"/>
      <c r="H168" s="287" t="s">
        <v>311</v>
      </c>
      <c r="I168" s="289"/>
    </row>
    <row r="169" spans="2:9">
      <c r="C169" s="286" t="s">
        <v>1240</v>
      </c>
      <c r="D169" s="286" t="s">
        <v>881</v>
      </c>
      <c r="E169" s="286" t="s">
        <v>1574</v>
      </c>
      <c r="F169" s="286" t="s">
        <v>432</v>
      </c>
      <c r="G169" s="289"/>
      <c r="H169" s="287" t="s">
        <v>311</v>
      </c>
      <c r="I169" s="289"/>
    </row>
    <row r="170" spans="2:9">
      <c r="C170" s="289" t="s">
        <v>798</v>
      </c>
      <c r="D170" s="289" t="s">
        <v>560</v>
      </c>
      <c r="E170" s="289"/>
      <c r="F170" s="289"/>
      <c r="G170" s="286"/>
      <c r="H170" s="286"/>
      <c r="I170" s="289"/>
    </row>
    <row r="171" spans="2:9">
      <c r="C171" s="286" t="s">
        <v>802</v>
      </c>
      <c r="D171" s="286" t="s">
        <v>1026</v>
      </c>
      <c r="E171" s="286" t="s">
        <v>1027</v>
      </c>
      <c r="F171" s="293" t="s">
        <v>1028</v>
      </c>
      <c r="G171" s="286"/>
      <c r="H171" s="286"/>
      <c r="I171" s="289"/>
    </row>
    <row r="172" spans="2:9">
      <c r="C172" s="286" t="s">
        <v>1239</v>
      </c>
      <c r="D172" s="289" t="s">
        <v>561</v>
      </c>
      <c r="E172" s="289"/>
      <c r="F172" s="289"/>
      <c r="G172" s="286"/>
      <c r="H172" s="286"/>
      <c r="I172" s="289"/>
    </row>
    <row r="173" spans="2:9">
      <c r="C173" s="286" t="s">
        <v>1482</v>
      </c>
      <c r="D173" s="289"/>
      <c r="E173" s="289"/>
      <c r="F173" s="289"/>
      <c r="G173" s="286"/>
      <c r="H173" s="286"/>
      <c r="I173" s="289"/>
    </row>
    <row r="174" spans="2:9">
      <c r="C174" s="286" t="s">
        <v>272</v>
      </c>
      <c r="D174" s="289"/>
      <c r="E174" s="289"/>
      <c r="F174" s="289"/>
      <c r="G174" s="286"/>
      <c r="H174" s="286"/>
      <c r="I174" s="289"/>
    </row>
    <row r="175" spans="2:9">
      <c r="C175" s="286" t="s">
        <v>1592</v>
      </c>
      <c r="D175" s="289"/>
      <c r="E175" s="289"/>
      <c r="F175" s="289"/>
      <c r="G175" s="286"/>
      <c r="H175" s="286"/>
      <c r="I175" s="289"/>
    </row>
    <row r="177" spans="2:13">
      <c r="C177" s="289" t="s">
        <v>1579</v>
      </c>
      <c r="D177" s="289" t="s">
        <v>454</v>
      </c>
      <c r="E177" s="286" t="s">
        <v>353</v>
      </c>
      <c r="F177" s="286"/>
      <c r="G177" s="289"/>
      <c r="H177" s="287" t="s">
        <v>311</v>
      </c>
      <c r="I177" s="289"/>
    </row>
    <row r="178" spans="2:13">
      <c r="C178" s="289" t="s">
        <v>1580</v>
      </c>
      <c r="D178" s="289" t="s">
        <v>454</v>
      </c>
      <c r="E178" s="286" t="s">
        <v>1933</v>
      </c>
      <c r="F178" s="289"/>
      <c r="G178" s="286"/>
      <c r="H178" s="287" t="s">
        <v>311</v>
      </c>
      <c r="I178" s="289"/>
    </row>
    <row r="180" spans="2:13">
      <c r="C180" s="289" t="s">
        <v>2021</v>
      </c>
      <c r="D180" s="286" t="s">
        <v>436</v>
      </c>
      <c r="E180" s="289" t="s">
        <v>2020</v>
      </c>
      <c r="F180" s="289" t="s">
        <v>2022</v>
      </c>
      <c r="G180" s="289"/>
      <c r="H180" s="289"/>
      <c r="I180" s="289"/>
    </row>
    <row r="181" spans="2:13">
      <c r="C181" s="289" t="s">
        <v>2025</v>
      </c>
      <c r="D181" s="286" t="s">
        <v>2023</v>
      </c>
      <c r="E181" s="286" t="s">
        <v>353</v>
      </c>
      <c r="F181" s="289" t="s">
        <v>2024</v>
      </c>
      <c r="G181" s="289"/>
      <c r="H181" s="289"/>
      <c r="I181" s="289"/>
    </row>
    <row r="182" spans="2:13">
      <c r="C182" s="289" t="s">
        <v>2031</v>
      </c>
      <c r="D182" s="286" t="s">
        <v>2026</v>
      </c>
      <c r="E182" s="286" t="s">
        <v>2027</v>
      </c>
      <c r="F182" s="286" t="s">
        <v>2028</v>
      </c>
      <c r="G182" s="286" t="s">
        <v>2030</v>
      </c>
      <c r="H182" s="286" t="s">
        <v>2029</v>
      </c>
      <c r="I182" s="289"/>
    </row>
    <row r="183" spans="2:13" s="459" customFormat="1">
      <c r="C183" s="610"/>
      <c r="D183" s="610"/>
      <c r="E183" s="610"/>
      <c r="F183" s="610"/>
      <c r="G183" s="610"/>
      <c r="H183" s="610"/>
      <c r="I183" s="610"/>
    </row>
    <row r="185" spans="2:13">
      <c r="K185" s="459"/>
    </row>
    <row r="186" spans="2:13" ht="15.75">
      <c r="B186" s="458" t="s">
        <v>1294</v>
      </c>
      <c r="K186" s="459"/>
    </row>
    <row r="187" spans="2:13">
      <c r="C187" s="286" t="s">
        <v>1596</v>
      </c>
      <c r="D187" s="286" t="s">
        <v>2163</v>
      </c>
      <c r="E187" s="591">
        <v>21</v>
      </c>
      <c r="F187" s="289"/>
      <c r="G187" s="286" t="s">
        <v>2164</v>
      </c>
      <c r="H187" s="286"/>
      <c r="I187" s="286"/>
      <c r="K187" s="459"/>
      <c r="M187" s="285" t="s">
        <v>1952</v>
      </c>
    </row>
    <row r="188" spans="2:13">
      <c r="C188" s="286" t="s">
        <v>1595</v>
      </c>
      <c r="D188" s="286" t="s">
        <v>534</v>
      </c>
      <c r="E188" s="286" t="s">
        <v>613</v>
      </c>
      <c r="F188" s="289"/>
      <c r="G188" s="286" t="s">
        <v>614</v>
      </c>
      <c r="H188" s="286"/>
      <c r="I188" s="286"/>
      <c r="K188" s="459"/>
    </row>
    <row r="189" spans="2:13">
      <c r="C189" s="286" t="s">
        <v>2015</v>
      </c>
      <c r="D189" s="286" t="s">
        <v>330</v>
      </c>
      <c r="E189" s="286"/>
      <c r="F189" s="286"/>
      <c r="G189" s="286"/>
      <c r="H189" s="286" t="s">
        <v>471</v>
      </c>
      <c r="I189" s="286" t="s">
        <v>2016</v>
      </c>
      <c r="K189" s="459"/>
    </row>
    <row r="190" spans="2:13">
      <c r="C190" s="469" t="s">
        <v>351</v>
      </c>
      <c r="D190" s="469" t="s">
        <v>668</v>
      </c>
      <c r="E190" s="469"/>
      <c r="F190" s="469"/>
      <c r="G190" s="469" t="s">
        <v>662</v>
      </c>
      <c r="H190" s="469" t="s">
        <v>471</v>
      </c>
      <c r="I190" s="469"/>
    </row>
    <row r="191" spans="2:13">
      <c r="C191" s="469" t="s">
        <v>404</v>
      </c>
      <c r="D191" s="469" t="s">
        <v>329</v>
      </c>
      <c r="E191" s="469" t="s">
        <v>658</v>
      </c>
      <c r="F191" s="469"/>
      <c r="G191" s="469"/>
      <c r="H191" s="469" t="s">
        <v>471</v>
      </c>
      <c r="I191" s="469"/>
    </row>
    <row r="192" spans="2:13" s="459" customFormat="1"/>
    <row r="193" spans="2:13">
      <c r="C193" s="469" t="s">
        <v>1836</v>
      </c>
      <c r="D193" s="469" t="s">
        <v>906</v>
      </c>
      <c r="E193" s="469"/>
      <c r="F193" s="469"/>
      <c r="G193" s="469" t="s">
        <v>907</v>
      </c>
      <c r="H193" s="469"/>
      <c r="I193" s="469"/>
    </row>
    <row r="194" spans="2:13">
      <c r="C194" s="286" t="s">
        <v>1057</v>
      </c>
      <c r="D194" s="286" t="s">
        <v>1597</v>
      </c>
      <c r="E194" s="286"/>
      <c r="F194" s="286"/>
      <c r="G194" s="286" t="s">
        <v>1222</v>
      </c>
      <c r="H194" s="286"/>
      <c r="I194" s="286"/>
    </row>
    <row r="195" spans="2:13">
      <c r="C195" s="460"/>
      <c r="D195" s="460"/>
      <c r="E195" s="460"/>
      <c r="F195" s="460"/>
      <c r="G195" s="460"/>
      <c r="H195" s="460"/>
      <c r="I195" s="460"/>
    </row>
    <row r="196" spans="2:13">
      <c r="C196" s="286" t="s">
        <v>2039</v>
      </c>
      <c r="D196" s="286" t="s">
        <v>2040</v>
      </c>
      <c r="E196" s="286" t="s">
        <v>2041</v>
      </c>
      <c r="F196" s="286"/>
      <c r="G196" s="286"/>
      <c r="H196" s="286"/>
      <c r="I196" s="286"/>
    </row>
    <row r="197" spans="2:13" s="459" customFormat="1"/>
    <row r="198" spans="2:13">
      <c r="C198" s="286" t="s">
        <v>1594</v>
      </c>
      <c r="D198" s="286" t="s">
        <v>1760</v>
      </c>
      <c r="E198" s="286"/>
      <c r="F198" s="286"/>
      <c r="G198" s="286" t="s">
        <v>1761</v>
      </c>
      <c r="H198" s="286"/>
      <c r="I198" s="286"/>
      <c r="K198" s="286" t="s">
        <v>2124</v>
      </c>
      <c r="L198"/>
      <c r="M198"/>
    </row>
    <row r="199" spans="2:13">
      <c r="C199" s="286" t="s">
        <v>1759</v>
      </c>
      <c r="D199" s="286" t="s">
        <v>1760</v>
      </c>
      <c r="E199" s="286"/>
      <c r="F199" s="286"/>
      <c r="G199" s="286" t="s">
        <v>1761</v>
      </c>
      <c r="H199" s="286"/>
      <c r="I199" s="286"/>
      <c r="K199" s="286" t="s">
        <v>2127</v>
      </c>
      <c r="L199"/>
      <c r="M199"/>
    </row>
    <row r="200" spans="2:13">
      <c r="C200" s="286" t="s">
        <v>1593</v>
      </c>
      <c r="D200" s="286" t="s">
        <v>1058</v>
      </c>
      <c r="E200" s="289"/>
      <c r="F200" s="286"/>
      <c r="G200" s="286" t="s">
        <v>1059</v>
      </c>
      <c r="H200" s="286"/>
      <c r="I200" s="286"/>
      <c r="K200" s="286" t="s">
        <v>2125</v>
      </c>
      <c r="L200"/>
      <c r="M200"/>
    </row>
    <row r="201" spans="2:13" s="459" customFormat="1">
      <c r="K201" s="575" t="s">
        <v>2126</v>
      </c>
    </row>
    <row r="202" spans="2:13">
      <c r="C202" s="286" t="s">
        <v>1470</v>
      </c>
      <c r="D202" s="286" t="s">
        <v>1471</v>
      </c>
      <c r="E202" s="286" t="s">
        <v>2017</v>
      </c>
      <c r="F202" s="286" t="s">
        <v>1834</v>
      </c>
      <c r="G202" s="289"/>
      <c r="H202" s="565" t="s">
        <v>1833</v>
      </c>
      <c r="I202" s="286" t="s">
        <v>2018</v>
      </c>
    </row>
    <row r="203" spans="2:13">
      <c r="C203" s="286" t="s">
        <v>1469</v>
      </c>
      <c r="D203" s="286" t="s">
        <v>890</v>
      </c>
      <c r="E203" s="289" t="s">
        <v>891</v>
      </c>
      <c r="F203" s="286"/>
      <c r="G203" s="286"/>
      <c r="H203" s="286"/>
      <c r="I203" s="286"/>
      <c r="K203" s="286"/>
    </row>
    <row r="204" spans="2:13" s="459" customFormat="1">
      <c r="K204" s="286"/>
    </row>
    <row r="205" spans="2:13">
      <c r="C205" s="286" t="s">
        <v>975</v>
      </c>
      <c r="D205" s="286" t="s">
        <v>430</v>
      </c>
      <c r="E205" s="286" t="s">
        <v>974</v>
      </c>
      <c r="F205" s="286"/>
      <c r="G205" s="286"/>
      <c r="H205" s="286"/>
      <c r="I205" s="286"/>
    </row>
    <row r="206" spans="2:13" s="459" customFormat="1"/>
    <row r="207" spans="2:13">
      <c r="B207" s="285"/>
      <c r="C207" s="289" t="s">
        <v>1935</v>
      </c>
      <c r="D207" s="289"/>
      <c r="E207" s="286" t="s">
        <v>1934</v>
      </c>
      <c r="F207" s="289"/>
      <c r="G207" s="289"/>
      <c r="H207" s="289"/>
      <c r="I207" s="289"/>
    </row>
    <row r="210" spans="2:17" ht="15.75">
      <c r="B210" s="458" t="s">
        <v>1478</v>
      </c>
    </row>
    <row r="211" spans="2:17">
      <c r="C211" s="289" t="s">
        <v>1120</v>
      </c>
      <c r="D211" s="289" t="s">
        <v>1116</v>
      </c>
      <c r="E211" s="290" t="s">
        <v>659</v>
      </c>
      <c r="F211" s="307" t="s">
        <v>1121</v>
      </c>
      <c r="G211" s="286"/>
      <c r="H211" s="287" t="s">
        <v>311</v>
      </c>
      <c r="I211" s="286" t="s">
        <v>1117</v>
      </c>
    </row>
    <row r="212" spans="2:17">
      <c r="C212" s="289" t="s">
        <v>1118</v>
      </c>
      <c r="D212" s="289" t="s">
        <v>1189</v>
      </c>
      <c r="E212" s="290"/>
      <c r="F212" s="286"/>
      <c r="G212" s="286"/>
      <c r="H212" s="287"/>
      <c r="I212" s="286" t="s">
        <v>1119</v>
      </c>
    </row>
    <row r="213" spans="2:17">
      <c r="C213" s="289" t="s">
        <v>530</v>
      </c>
      <c r="D213" s="289" t="s">
        <v>672</v>
      </c>
      <c r="E213" s="289" t="s">
        <v>531</v>
      </c>
      <c r="F213" s="286"/>
      <c r="G213" s="286" t="s">
        <v>532</v>
      </c>
      <c r="H213" s="287"/>
      <c r="I213" s="286"/>
    </row>
    <row r="215" spans="2:17">
      <c r="C215" s="286" t="s">
        <v>1598</v>
      </c>
      <c r="D215" s="286" t="s">
        <v>430</v>
      </c>
      <c r="E215" s="286" t="s">
        <v>315</v>
      </c>
      <c r="F215" s="286"/>
      <c r="G215" s="286" t="s">
        <v>717</v>
      </c>
      <c r="H215" s="287" t="s">
        <v>311</v>
      </c>
      <c r="I215" s="289" t="s">
        <v>1013</v>
      </c>
    </row>
    <row r="216" spans="2:17">
      <c r="C216" s="460"/>
      <c r="D216" s="460"/>
      <c r="E216" s="460"/>
      <c r="F216" s="460"/>
      <c r="G216" s="460"/>
      <c r="H216" s="461"/>
    </row>
    <row r="217" spans="2:17">
      <c r="C217" s="286" t="s">
        <v>321</v>
      </c>
      <c r="D217" s="286" t="s">
        <v>444</v>
      </c>
      <c r="E217" s="286" t="s">
        <v>442</v>
      </c>
      <c r="F217" s="286"/>
      <c r="G217" s="286" t="s">
        <v>468</v>
      </c>
      <c r="H217" s="287" t="s">
        <v>311</v>
      </c>
      <c r="I217" s="286"/>
    </row>
    <row r="218" spans="2:17" s="459" customFormat="1">
      <c r="C218" s="289" t="s">
        <v>1056</v>
      </c>
      <c r="D218" s="286" t="s">
        <v>562</v>
      </c>
      <c r="E218" s="286" t="s">
        <v>1186</v>
      </c>
      <c r="F218" s="288" t="s">
        <v>894</v>
      </c>
      <c r="G218" s="286" t="s">
        <v>563</v>
      </c>
      <c r="H218" s="287" t="s">
        <v>311</v>
      </c>
      <c r="I218" s="286" t="s">
        <v>564</v>
      </c>
    </row>
    <row r="220" spans="2:17">
      <c r="C220" s="286" t="s">
        <v>1016</v>
      </c>
      <c r="D220" s="291" t="s">
        <v>1017</v>
      </c>
      <c r="E220" s="288" t="s">
        <v>1066</v>
      </c>
      <c r="F220" s="286"/>
      <c r="G220" s="286"/>
      <c r="H220" s="286"/>
      <c r="I220" s="286" t="s">
        <v>1018</v>
      </c>
    </row>
    <row r="222" spans="2:17">
      <c r="C222" s="286" t="s">
        <v>1194</v>
      </c>
      <c r="D222" s="286" t="s">
        <v>2033</v>
      </c>
      <c r="E222" s="286"/>
      <c r="F222" s="286"/>
      <c r="G222" s="286"/>
      <c r="H222" s="565" t="s">
        <v>1833</v>
      </c>
      <c r="I222" s="286"/>
      <c r="K222" s="289" t="s">
        <v>871</v>
      </c>
      <c r="L222" s="289" t="s">
        <v>872</v>
      </c>
      <c r="M222" s="289" t="s">
        <v>873</v>
      </c>
      <c r="N222" s="289" t="s">
        <v>875</v>
      </c>
      <c r="O222" s="289"/>
      <c r="P222" s="289"/>
      <c r="Q222" s="289"/>
    </row>
    <row r="223" spans="2:17" ht="110.25">
      <c r="C223" s="286" t="s">
        <v>925</v>
      </c>
      <c r="D223" s="291" t="s">
        <v>512</v>
      </c>
      <c r="E223" s="291" t="s">
        <v>1065</v>
      </c>
      <c r="F223" s="286" t="s">
        <v>992</v>
      </c>
      <c r="G223" s="286" t="s">
        <v>809</v>
      </c>
      <c r="H223" s="565" t="s">
        <v>1833</v>
      </c>
      <c r="I223" s="471" t="s">
        <v>859</v>
      </c>
      <c r="K223" s="470">
        <v>265</v>
      </c>
      <c r="L223" s="470">
        <f>K223*85/100</f>
        <v>225.25</v>
      </c>
      <c r="M223" s="470" t="s">
        <v>874</v>
      </c>
      <c r="N223" s="470" t="s">
        <v>876</v>
      </c>
      <c r="O223" s="289" t="s">
        <v>930</v>
      </c>
      <c r="P223" s="289"/>
      <c r="Q223" s="289"/>
    </row>
    <row r="224" spans="2:17">
      <c r="E224" s="285" t="s">
        <v>1687</v>
      </c>
      <c r="F224" s="285" t="s">
        <v>1112</v>
      </c>
      <c r="G224" s="285" t="s">
        <v>1688</v>
      </c>
      <c r="K224" s="289"/>
      <c r="L224" s="289"/>
      <c r="M224" s="289"/>
      <c r="N224" s="289"/>
      <c r="O224" s="289" t="s">
        <v>929</v>
      </c>
      <c r="P224" s="289"/>
      <c r="Q224" s="289"/>
    </row>
    <row r="226" spans="3:9">
      <c r="C226" s="289" t="s">
        <v>1805</v>
      </c>
      <c r="D226" s="289" t="s">
        <v>430</v>
      </c>
      <c r="E226" s="289"/>
      <c r="F226" s="289" t="s">
        <v>1804</v>
      </c>
      <c r="G226" s="289"/>
      <c r="H226" s="566" t="s">
        <v>1835</v>
      </c>
      <c r="I226" s="289" t="s">
        <v>1803</v>
      </c>
    </row>
  </sheetData>
  <hyperlinks>
    <hyperlink ref="D132" r:id="rId1" xr:uid="{8F20A4D9-1C0D-43BD-9262-7BE2AB436FC7}"/>
    <hyperlink ref="E144" r:id="rId2" xr:uid="{98E4939D-CA24-4929-B76A-A8D569686FFB}"/>
    <hyperlink ref="D171" r:id="rId3" xr:uid="{802003A3-33AD-4C17-B1FE-E8D7CAF0B801}"/>
    <hyperlink ref="E123" r:id="rId4" xr:uid="{E3A4C438-2D72-4249-BB36-389DC74ECA1E}"/>
    <hyperlink ref="E211" r:id="rId5" xr:uid="{B6F726CB-5B90-478B-8051-77CBCA0E4729}"/>
    <hyperlink ref="D19" r:id="rId6" xr:uid="{E030C5FA-D014-4A34-A7AE-7810BA4314AA}"/>
    <hyperlink ref="D86" r:id="rId7" xr:uid="{9FC52BF9-E5CE-410C-9A24-342B1D25C588}"/>
    <hyperlink ref="E91" r:id="rId8" xr:uid="{FC0D796B-86BB-451C-AB37-DB27455D6288}"/>
    <hyperlink ref="E66" r:id="rId9" xr:uid="{04F5D8A3-FE1A-41BD-9B08-F78417DE7F0D}"/>
    <hyperlink ref="G223" r:id="rId10" xr:uid="{CD38A8AD-A040-A54D-973E-80CF9FF43A90}"/>
    <hyperlink ref="I93" r:id="rId11" xr:uid="{0FD10F9C-2E08-492C-8473-48B312F98843}"/>
    <hyperlink ref="I118" r:id="rId12" xr:uid="{5009691E-60BB-46F4-AA02-97D51638A379}"/>
    <hyperlink ref="D95" r:id="rId13" xr:uid="{D1C31C8F-063E-49DB-A42B-E649A966CCFA}"/>
    <hyperlink ref="G47" r:id="rId14" xr:uid="{C3C3B156-3652-4328-AB96-65FD733774BE}"/>
    <hyperlink ref="O28" r:id="rId15" display="https://www.blsinternational.com/india/spain/track-application.php" xr:uid="{4D303600-6263-4EC4-8C87-2C65965A1429}"/>
    <hyperlink ref="J29" r:id="rId16" xr:uid="{433FFA84-A89B-4959-A48F-D904F59E0B85}"/>
    <hyperlink ref="E148" r:id="rId17" xr:uid="{63B3A866-6114-4D2B-AC63-B1B99292315D}"/>
    <hyperlink ref="I146" r:id="rId18" xr:uid="{04B6CF8A-C3A5-46E3-928A-2080F6236285}"/>
    <hyperlink ref="K148" r:id="rId19" xr:uid="{CCFDB0DB-41E8-40C7-ADF5-FDC6228FE70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F0B2D-0B73-48CC-B6D6-79D5581BA771}">
  <dimension ref="A1:M84"/>
  <sheetViews>
    <sheetView topLeftCell="A37" zoomScaleNormal="100" workbookViewId="0">
      <selection activeCell="H66" sqref="H66"/>
    </sheetView>
  </sheetViews>
  <sheetFormatPr defaultColWidth="8.875" defaultRowHeight="14.25"/>
  <cols>
    <col min="1" max="1" width="16.375" customWidth="1"/>
    <col min="2" max="2" width="23.125" customWidth="1"/>
    <col min="3" max="3" width="17.125" customWidth="1"/>
    <col min="4" max="4" width="12" customWidth="1"/>
    <col min="5" max="5" width="16.125" customWidth="1"/>
    <col min="6" max="6" width="16" customWidth="1"/>
    <col min="7" max="7" width="13.5" style="73" customWidth="1"/>
    <col min="8" max="8" width="12.5" style="73" customWidth="1"/>
    <col min="10" max="10" width="12" customWidth="1"/>
    <col min="11" max="11" width="12.125" customWidth="1"/>
  </cols>
  <sheetData>
    <row r="1" spans="1:10" ht="27.75">
      <c r="A1" s="125" t="s">
        <v>421</v>
      </c>
    </row>
    <row r="2" spans="1:10" ht="15">
      <c r="A2" s="124" t="s">
        <v>44</v>
      </c>
      <c r="B2" s="124" t="s">
        <v>418</v>
      </c>
      <c r="C2" s="124" t="s">
        <v>290</v>
      </c>
      <c r="D2" s="124" t="s">
        <v>420</v>
      </c>
    </row>
    <row r="3" spans="1:10" ht="15">
      <c r="A3" s="122">
        <v>43831</v>
      </c>
      <c r="B3" s="123">
        <v>10000</v>
      </c>
      <c r="C3" s="123">
        <v>0</v>
      </c>
      <c r="D3" s="123">
        <v>0</v>
      </c>
    </row>
    <row r="5" spans="1:10" ht="26.25">
      <c r="A5" s="126" t="s">
        <v>375</v>
      </c>
      <c r="H5"/>
    </row>
    <row r="6" spans="1:10" ht="15.75">
      <c r="A6" s="127" t="s">
        <v>422</v>
      </c>
      <c r="G6" s="692" t="s">
        <v>538</v>
      </c>
      <c r="H6" s="693"/>
      <c r="I6" s="694"/>
    </row>
    <row r="7" spans="1:10" ht="15">
      <c r="A7" s="124" t="s">
        <v>44</v>
      </c>
      <c r="B7" s="124" t="s">
        <v>416</v>
      </c>
      <c r="C7" s="124" t="s">
        <v>419</v>
      </c>
      <c r="D7" s="124" t="s">
        <v>417</v>
      </c>
      <c r="E7" s="124" t="s">
        <v>418</v>
      </c>
      <c r="F7" s="124" t="s">
        <v>420</v>
      </c>
      <c r="G7" s="163" t="s">
        <v>183</v>
      </c>
      <c r="H7" s="163" t="s">
        <v>537</v>
      </c>
      <c r="I7" s="163" t="s">
        <v>539</v>
      </c>
      <c r="J7" s="124" t="s">
        <v>307</v>
      </c>
    </row>
    <row r="8" spans="1:10" ht="15">
      <c r="A8" s="122">
        <v>43070</v>
      </c>
      <c r="B8" s="123">
        <v>0</v>
      </c>
      <c r="C8" s="123">
        <v>0</v>
      </c>
      <c r="D8" s="123">
        <v>400000</v>
      </c>
      <c r="E8" s="123">
        <v>400000</v>
      </c>
      <c r="F8" s="123">
        <f>D8-E8</f>
        <v>0</v>
      </c>
      <c r="G8" s="164">
        <v>678</v>
      </c>
      <c r="H8" s="164">
        <v>0</v>
      </c>
      <c r="I8" s="164">
        <f>G8+H8</f>
        <v>678</v>
      </c>
      <c r="J8" s="63"/>
    </row>
    <row r="9" spans="1:10" ht="15">
      <c r="A9" s="122">
        <v>43101</v>
      </c>
      <c r="B9" s="123">
        <v>0</v>
      </c>
      <c r="C9" s="123">
        <v>0</v>
      </c>
      <c r="D9" s="123">
        <v>392000</v>
      </c>
      <c r="E9" s="123">
        <v>400000</v>
      </c>
      <c r="F9" s="123">
        <f>D9-E9</f>
        <v>-8000</v>
      </c>
      <c r="G9" s="164">
        <v>-85467</v>
      </c>
      <c r="H9" s="164">
        <v>8302</v>
      </c>
      <c r="I9" s="164">
        <f>G9+H9</f>
        <v>-77165</v>
      </c>
      <c r="J9" s="63"/>
    </row>
    <row r="10" spans="1:10" ht="15">
      <c r="A10" s="122">
        <v>43466</v>
      </c>
      <c r="B10" s="123">
        <v>259371</v>
      </c>
      <c r="C10" s="123">
        <v>56109</v>
      </c>
      <c r="D10" s="123">
        <f>B10+C10</f>
        <v>315480</v>
      </c>
      <c r="E10" s="123">
        <v>400000</v>
      </c>
      <c r="F10" s="123">
        <f>D10-E10</f>
        <v>-84520</v>
      </c>
      <c r="G10" s="164">
        <v>8217</v>
      </c>
      <c r="H10" s="164">
        <v>-8334</v>
      </c>
      <c r="I10" s="164">
        <f>G10+H10</f>
        <v>-117</v>
      </c>
      <c r="J10" s="63"/>
    </row>
    <row r="11" spans="1:10" ht="15">
      <c r="A11" s="122">
        <v>43831</v>
      </c>
      <c r="B11" s="123">
        <v>291229</v>
      </c>
      <c r="C11" s="123">
        <v>14134</v>
      </c>
      <c r="D11" s="123">
        <f>B11+C11</f>
        <v>305363</v>
      </c>
      <c r="E11" s="123">
        <v>390000</v>
      </c>
      <c r="F11" s="123">
        <f>D11-E11</f>
        <v>-84637</v>
      </c>
      <c r="G11" s="164">
        <v>-20773</v>
      </c>
      <c r="H11" s="164">
        <v>-24741</v>
      </c>
      <c r="I11" s="164">
        <f>G11+H11</f>
        <v>-45514</v>
      </c>
      <c r="J11" s="123" t="s">
        <v>540</v>
      </c>
    </row>
    <row r="12" spans="1:10" ht="15">
      <c r="A12" s="122">
        <v>44197</v>
      </c>
      <c r="B12" s="123">
        <v>220872</v>
      </c>
      <c r="C12" s="123">
        <v>64114</v>
      </c>
      <c r="D12" s="123">
        <f>B12+C12</f>
        <v>284986</v>
      </c>
      <c r="E12" s="123">
        <v>390000</v>
      </c>
      <c r="F12" s="123">
        <f>D12-E12</f>
        <v>-105014</v>
      </c>
      <c r="G12" s="164">
        <f>F12</f>
        <v>-105014</v>
      </c>
      <c r="H12" s="164">
        <v>0</v>
      </c>
      <c r="I12" s="164">
        <f>G12+H12</f>
        <v>-105014</v>
      </c>
      <c r="J12" s="123"/>
    </row>
    <row r="13" spans="1:10">
      <c r="G13"/>
      <c r="H13"/>
    </row>
    <row r="16" spans="1:10" ht="15.75">
      <c r="A16" s="127" t="s">
        <v>423</v>
      </c>
    </row>
    <row r="17" spans="1:12" ht="15">
      <c r="A17" s="124" t="s">
        <v>44</v>
      </c>
      <c r="B17" s="135" t="s">
        <v>416</v>
      </c>
      <c r="C17" s="135" t="s">
        <v>419</v>
      </c>
      <c r="D17" s="135" t="s">
        <v>747</v>
      </c>
      <c r="E17" s="124" t="s">
        <v>526</v>
      </c>
      <c r="F17" s="124" t="s">
        <v>418</v>
      </c>
      <c r="G17" s="124" t="s">
        <v>420</v>
      </c>
      <c r="H17" s="162" t="s">
        <v>529</v>
      </c>
      <c r="I17" s="162" t="s">
        <v>528</v>
      </c>
    </row>
    <row r="18" spans="1:12" ht="15">
      <c r="A18" s="122">
        <v>43831</v>
      </c>
      <c r="B18" s="123">
        <v>291229</v>
      </c>
      <c r="C18" s="123">
        <v>14134</v>
      </c>
      <c r="D18" s="63"/>
      <c r="E18" s="123">
        <f t="shared" ref="E18:E31" si="0">B18+C18</f>
        <v>305363</v>
      </c>
      <c r="F18" s="123">
        <v>390000</v>
      </c>
      <c r="G18" s="123">
        <f t="shared" ref="G18:G26" si="1">E18-F18</f>
        <v>-84637</v>
      </c>
      <c r="H18" s="123"/>
      <c r="I18" s="123"/>
    </row>
    <row r="19" spans="1:12" ht="15">
      <c r="A19" s="122">
        <v>43862</v>
      </c>
      <c r="B19" s="123">
        <v>291229</v>
      </c>
      <c r="C19" s="123">
        <v>14134</v>
      </c>
      <c r="D19" s="63"/>
      <c r="E19" s="123">
        <f t="shared" si="0"/>
        <v>305363</v>
      </c>
      <c r="F19" s="123">
        <v>390000</v>
      </c>
      <c r="G19" s="123">
        <f t="shared" si="1"/>
        <v>-84637</v>
      </c>
      <c r="H19" s="123"/>
      <c r="I19" s="123"/>
    </row>
    <row r="20" spans="1:12" ht="15">
      <c r="A20" s="122">
        <v>43891</v>
      </c>
      <c r="B20" s="123">
        <v>168000</v>
      </c>
      <c r="C20" s="123">
        <v>136267</v>
      </c>
      <c r="D20" s="63"/>
      <c r="E20" s="123">
        <f t="shared" si="0"/>
        <v>304267</v>
      </c>
      <c r="F20" s="123">
        <v>390000</v>
      </c>
      <c r="G20" s="123">
        <f t="shared" si="1"/>
        <v>-85733</v>
      </c>
      <c r="H20" s="123" t="s">
        <v>509</v>
      </c>
      <c r="I20" s="123" t="s">
        <v>527</v>
      </c>
    </row>
    <row r="21" spans="1:12" ht="15">
      <c r="A21" s="122">
        <v>43922</v>
      </c>
      <c r="B21" s="123">
        <v>95470</v>
      </c>
      <c r="C21" s="123">
        <v>42887</v>
      </c>
      <c r="D21" s="63"/>
      <c r="E21" s="123">
        <f t="shared" si="0"/>
        <v>138357</v>
      </c>
      <c r="F21" s="123">
        <f>F20-I21</f>
        <v>259560</v>
      </c>
      <c r="G21" s="123">
        <f t="shared" si="1"/>
        <v>-121203</v>
      </c>
      <c r="H21" s="123" t="s">
        <v>506</v>
      </c>
      <c r="I21" s="123">
        <v>130440</v>
      </c>
    </row>
    <row r="22" spans="1:12" ht="15">
      <c r="A22" s="122">
        <v>43952</v>
      </c>
      <c r="B22" s="123">
        <v>118439</v>
      </c>
      <c r="C22" s="123">
        <v>9195</v>
      </c>
      <c r="D22" s="63"/>
      <c r="E22" s="123">
        <f t="shared" si="0"/>
        <v>127634</v>
      </c>
      <c r="F22" s="123">
        <f>F21</f>
        <v>259560</v>
      </c>
      <c r="G22" s="123">
        <f t="shared" si="1"/>
        <v>-131926</v>
      </c>
      <c r="H22" s="123"/>
      <c r="I22" s="123"/>
    </row>
    <row r="23" spans="1:12" ht="15">
      <c r="A23" s="122">
        <v>43986</v>
      </c>
      <c r="B23" s="123">
        <v>102579</v>
      </c>
      <c r="C23" s="123">
        <v>13402</v>
      </c>
      <c r="D23" s="63"/>
      <c r="E23" s="123">
        <f t="shared" si="0"/>
        <v>115981</v>
      </c>
      <c r="F23" s="123">
        <f>F22</f>
        <v>259560</v>
      </c>
      <c r="G23" s="123">
        <f t="shared" si="1"/>
        <v>-143579</v>
      </c>
      <c r="H23" s="123" t="s">
        <v>536</v>
      </c>
      <c r="I23" s="123"/>
    </row>
    <row r="24" spans="1:12" ht="15">
      <c r="A24" s="122">
        <v>44018</v>
      </c>
      <c r="B24" s="123">
        <v>63029</v>
      </c>
      <c r="C24" s="123">
        <v>66767</v>
      </c>
      <c r="D24" s="63"/>
      <c r="E24" s="123">
        <f t="shared" si="0"/>
        <v>129796</v>
      </c>
      <c r="F24" s="123">
        <f>F23-9560</f>
        <v>250000</v>
      </c>
      <c r="G24" s="123">
        <f t="shared" si="1"/>
        <v>-120204</v>
      </c>
      <c r="H24" s="123" t="s">
        <v>541</v>
      </c>
      <c r="I24" s="123"/>
    </row>
    <row r="25" spans="1:12" ht="15">
      <c r="A25" s="122">
        <v>44044</v>
      </c>
      <c r="B25" s="123">
        <v>37151</v>
      </c>
      <c r="C25" s="123">
        <v>88631</v>
      </c>
      <c r="D25" s="63"/>
      <c r="E25" s="123">
        <f t="shared" si="0"/>
        <v>125782</v>
      </c>
      <c r="F25" s="123">
        <v>250000</v>
      </c>
      <c r="G25" s="123">
        <f t="shared" si="1"/>
        <v>-124218</v>
      </c>
      <c r="H25" s="123"/>
      <c r="I25" s="123"/>
    </row>
    <row r="26" spans="1:12" ht="15">
      <c r="A26" s="122">
        <v>44075</v>
      </c>
      <c r="B26" s="123">
        <v>71802</v>
      </c>
      <c r="C26" s="123">
        <v>65931</v>
      </c>
      <c r="D26" s="63"/>
      <c r="E26" s="123">
        <f t="shared" si="0"/>
        <v>137733</v>
      </c>
      <c r="F26" s="123">
        <v>250000</v>
      </c>
      <c r="G26" s="123">
        <f t="shared" si="1"/>
        <v>-112267</v>
      </c>
      <c r="H26" s="123" t="s">
        <v>611</v>
      </c>
      <c r="I26" s="123"/>
    </row>
    <row r="27" spans="1:12" ht="15">
      <c r="A27" s="122">
        <v>44105</v>
      </c>
      <c r="B27" s="123">
        <v>18046</v>
      </c>
      <c r="C27" s="123">
        <v>252911</v>
      </c>
      <c r="D27" s="63"/>
      <c r="E27" s="123">
        <f t="shared" si="0"/>
        <v>270957</v>
      </c>
      <c r="F27" s="123">
        <v>400000</v>
      </c>
      <c r="G27" s="123">
        <f t="shared" ref="G27:G32" si="2">-(F27-E27)</f>
        <v>-129043</v>
      </c>
      <c r="H27" s="123"/>
      <c r="I27" s="123"/>
    </row>
    <row r="28" spans="1:12" ht="15">
      <c r="A28" s="122">
        <v>44136</v>
      </c>
      <c r="B28" s="123">
        <v>24997</v>
      </c>
      <c r="C28" s="123">
        <v>247361</v>
      </c>
      <c r="D28" s="63"/>
      <c r="E28" s="123">
        <f t="shared" si="0"/>
        <v>272358</v>
      </c>
      <c r="F28" s="123">
        <f t="shared" ref="F28:F39" si="3">F27</f>
        <v>400000</v>
      </c>
      <c r="G28" s="123">
        <f t="shared" si="2"/>
        <v>-127642</v>
      </c>
      <c r="H28" s="161">
        <f>G29-G28</f>
        <v>12628</v>
      </c>
      <c r="I28" s="123"/>
    </row>
    <row r="29" spans="1:12" ht="15">
      <c r="A29" s="122">
        <v>44197</v>
      </c>
      <c r="B29" s="123">
        <v>220872</v>
      </c>
      <c r="C29" s="123">
        <v>64114</v>
      </c>
      <c r="D29" s="63"/>
      <c r="E29" s="123">
        <f>B29+C29</f>
        <v>284986</v>
      </c>
      <c r="F29" s="123">
        <f t="shared" si="3"/>
        <v>400000</v>
      </c>
      <c r="G29" s="123">
        <f t="shared" si="2"/>
        <v>-115014</v>
      </c>
      <c r="H29" s="161">
        <f>G30-G29</f>
        <v>636</v>
      </c>
      <c r="I29" s="161"/>
      <c r="K29" s="123" t="s">
        <v>742</v>
      </c>
    </row>
    <row r="30" spans="1:12" ht="15">
      <c r="A30" s="122">
        <v>44197</v>
      </c>
      <c r="B30" s="123">
        <v>196934</v>
      </c>
      <c r="C30" s="123">
        <v>88688</v>
      </c>
      <c r="D30" s="63"/>
      <c r="E30" s="123">
        <f t="shared" si="0"/>
        <v>285622</v>
      </c>
      <c r="F30" s="123">
        <f t="shared" si="3"/>
        <v>400000</v>
      </c>
      <c r="G30" s="123">
        <f t="shared" si="2"/>
        <v>-114378</v>
      </c>
      <c r="H30" s="161">
        <f>G31-G30</f>
        <v>5300</v>
      </c>
      <c r="I30" s="161"/>
      <c r="K30" t="s">
        <v>752</v>
      </c>
      <c r="L30" s="63">
        <v>15200</v>
      </c>
    </row>
    <row r="31" spans="1:12" ht="15">
      <c r="A31" s="122">
        <v>44256</v>
      </c>
      <c r="B31" s="123">
        <v>35277</v>
      </c>
      <c r="C31" s="123">
        <v>255645</v>
      </c>
      <c r="D31" s="63"/>
      <c r="E31" s="123">
        <f t="shared" si="0"/>
        <v>290922</v>
      </c>
      <c r="F31" s="123">
        <f t="shared" si="3"/>
        <v>400000</v>
      </c>
      <c r="G31" s="123">
        <f t="shared" si="2"/>
        <v>-109078</v>
      </c>
      <c r="H31" s="123"/>
      <c r="I31" s="123"/>
      <c r="K31" t="s">
        <v>751</v>
      </c>
      <c r="L31">
        <v>4479</v>
      </c>
    </row>
    <row r="32" spans="1:12" ht="15">
      <c r="A32" s="122">
        <v>44287</v>
      </c>
      <c r="B32" s="123">
        <v>22092</v>
      </c>
      <c r="C32" s="123">
        <v>268242</v>
      </c>
      <c r="D32" s="63">
        <v>15200</v>
      </c>
      <c r="E32" s="123">
        <f t="shared" ref="E32:E37" si="4">B32+C32+D32</f>
        <v>305534</v>
      </c>
      <c r="F32" s="123">
        <f t="shared" si="3"/>
        <v>400000</v>
      </c>
      <c r="G32" s="123">
        <f t="shared" si="2"/>
        <v>-94466</v>
      </c>
      <c r="H32" s="123" t="s">
        <v>750</v>
      </c>
      <c r="I32" s="123"/>
    </row>
    <row r="33" spans="1:11" ht="15">
      <c r="A33" s="122">
        <v>44317</v>
      </c>
      <c r="B33" s="123">
        <v>45720</v>
      </c>
      <c r="C33" s="123">
        <v>240892</v>
      </c>
      <c r="D33" s="63">
        <v>15200</v>
      </c>
      <c r="E33" s="123">
        <f t="shared" si="4"/>
        <v>301812</v>
      </c>
      <c r="F33" s="123">
        <f t="shared" si="3"/>
        <v>400000</v>
      </c>
      <c r="G33" s="123">
        <f t="shared" ref="G33:G38" si="5">-(F33-E33)</f>
        <v>-98188</v>
      </c>
      <c r="H33" s="123"/>
      <c r="I33" s="123"/>
    </row>
    <row r="34" spans="1:11" ht="15">
      <c r="A34" s="122">
        <v>44396</v>
      </c>
      <c r="B34" s="123">
        <v>125498</v>
      </c>
      <c r="C34" s="123">
        <v>93622</v>
      </c>
      <c r="D34" s="63">
        <v>21000</v>
      </c>
      <c r="E34" s="123">
        <f t="shared" si="4"/>
        <v>240120</v>
      </c>
      <c r="F34" s="123">
        <f t="shared" si="3"/>
        <v>400000</v>
      </c>
      <c r="G34" s="123">
        <f t="shared" si="5"/>
        <v>-159880</v>
      </c>
      <c r="H34" s="161">
        <f t="shared" ref="H34:H39" si="6">G34-G33</f>
        <v>-61692</v>
      </c>
      <c r="I34" s="63" t="s">
        <v>763</v>
      </c>
    </row>
    <row r="35" spans="1:11" ht="15">
      <c r="A35" s="122">
        <v>44409</v>
      </c>
      <c r="B35" s="123">
        <v>55853</v>
      </c>
      <c r="C35" s="123">
        <v>163120</v>
      </c>
      <c r="D35" s="63">
        <v>25588</v>
      </c>
      <c r="E35" s="123">
        <f t="shared" si="4"/>
        <v>244561</v>
      </c>
      <c r="F35" s="123">
        <f t="shared" si="3"/>
        <v>400000</v>
      </c>
      <c r="G35" s="123">
        <f t="shared" si="5"/>
        <v>-155439</v>
      </c>
      <c r="H35" s="161">
        <f t="shared" si="6"/>
        <v>4441</v>
      </c>
      <c r="I35" s="63"/>
    </row>
    <row r="36" spans="1:11" ht="15">
      <c r="A36" s="122">
        <v>44440</v>
      </c>
      <c r="B36" s="123">
        <v>46229</v>
      </c>
      <c r="C36" s="123">
        <v>172345</v>
      </c>
      <c r="D36" s="63">
        <v>25620</v>
      </c>
      <c r="E36" s="123">
        <f t="shared" si="4"/>
        <v>244194</v>
      </c>
      <c r="F36" s="123">
        <f t="shared" si="3"/>
        <v>400000</v>
      </c>
      <c r="G36" s="123">
        <f t="shared" si="5"/>
        <v>-155806</v>
      </c>
      <c r="H36" s="161">
        <f t="shared" si="6"/>
        <v>-367</v>
      </c>
      <c r="I36" s="63"/>
    </row>
    <row r="37" spans="1:11" ht="15">
      <c r="A37" s="122">
        <v>44470</v>
      </c>
      <c r="B37" s="123">
        <v>46140</v>
      </c>
      <c r="C37" s="123">
        <v>172355</v>
      </c>
      <c r="D37" s="63">
        <v>25620</v>
      </c>
      <c r="E37" s="123">
        <f t="shared" si="4"/>
        <v>244115</v>
      </c>
      <c r="F37" s="123">
        <f>F36-46140</f>
        <v>353860</v>
      </c>
      <c r="G37" s="123">
        <f t="shared" si="5"/>
        <v>-109745</v>
      </c>
      <c r="H37" s="161">
        <f t="shared" si="6"/>
        <v>46061</v>
      </c>
      <c r="I37" s="63"/>
    </row>
    <row r="38" spans="1:11" ht="15">
      <c r="A38" s="122">
        <v>44531</v>
      </c>
      <c r="B38" s="123">
        <v>33884</v>
      </c>
      <c r="C38" s="123">
        <v>144832</v>
      </c>
      <c r="D38" s="63">
        <v>25620</v>
      </c>
      <c r="E38" s="123">
        <f t="shared" ref="E38" si="7">B38+C38+D38</f>
        <v>204336</v>
      </c>
      <c r="F38" s="123">
        <f t="shared" si="3"/>
        <v>353860</v>
      </c>
      <c r="G38" s="123">
        <f t="shared" si="5"/>
        <v>-149524</v>
      </c>
      <c r="H38" s="161">
        <f t="shared" si="6"/>
        <v>-39779</v>
      </c>
      <c r="I38" s="63"/>
    </row>
    <row r="39" spans="1:11" ht="15.75">
      <c r="A39" s="122">
        <v>44562</v>
      </c>
      <c r="B39" s="123">
        <v>330</v>
      </c>
      <c r="C39" s="123">
        <v>174437</v>
      </c>
      <c r="D39" s="63">
        <v>25620</v>
      </c>
      <c r="E39" s="123">
        <f>B39+C39+D39</f>
        <v>200387</v>
      </c>
      <c r="F39" s="123">
        <f t="shared" si="3"/>
        <v>353860</v>
      </c>
      <c r="G39" s="123">
        <f t="shared" ref="G39" si="8">-(F39-E39)</f>
        <v>-153473</v>
      </c>
      <c r="H39" s="161">
        <f t="shared" si="6"/>
        <v>-3949</v>
      </c>
      <c r="I39" s="63"/>
      <c r="J39" s="134" t="s">
        <v>861</v>
      </c>
      <c r="K39" s="246" t="s">
        <v>862</v>
      </c>
    </row>
    <row r="40" spans="1:11" ht="15">
      <c r="A40" s="122">
        <v>44593</v>
      </c>
      <c r="B40" s="123">
        <v>89522</v>
      </c>
      <c r="C40" s="123">
        <v>91673</v>
      </c>
      <c r="D40" s="63">
        <v>25620</v>
      </c>
      <c r="E40" s="123">
        <f>B40+C40+D40</f>
        <v>206815</v>
      </c>
      <c r="F40" s="123">
        <f>F39</f>
        <v>353860</v>
      </c>
      <c r="G40" s="123">
        <f t="shared" ref="G40" si="9">-(F40-E40)</f>
        <v>-147045</v>
      </c>
      <c r="H40" s="161">
        <f>G40-G39</f>
        <v>6428</v>
      </c>
      <c r="I40" s="63"/>
    </row>
    <row r="41" spans="1:11" ht="15">
      <c r="A41" s="122">
        <v>44652</v>
      </c>
      <c r="B41" s="123">
        <v>0</v>
      </c>
      <c r="C41" s="123">
        <v>113547</v>
      </c>
      <c r="D41" s="63">
        <v>25620</v>
      </c>
      <c r="E41" s="123">
        <f>B41+C41+D41</f>
        <v>139167</v>
      </c>
      <c r="F41" s="123">
        <f>F40-67621</f>
        <v>286239</v>
      </c>
      <c r="G41" s="123">
        <f>-(F41-E41)</f>
        <v>-147072</v>
      </c>
      <c r="H41" s="247" t="s">
        <v>863</v>
      </c>
      <c r="I41" s="63"/>
    </row>
    <row r="42" spans="1:11" ht="15">
      <c r="A42" s="122">
        <v>44835</v>
      </c>
      <c r="B42" s="123">
        <v>0</v>
      </c>
      <c r="C42" s="123">
        <v>91672</v>
      </c>
      <c r="D42" s="63">
        <v>25620</v>
      </c>
      <c r="E42" s="123">
        <f>B42+C42+D42</f>
        <v>117292</v>
      </c>
      <c r="F42" s="123">
        <v>286239</v>
      </c>
      <c r="G42" s="123">
        <f>-(F42-E42)</f>
        <v>-168947</v>
      </c>
      <c r="H42" s="161"/>
      <c r="I42" s="63"/>
    </row>
    <row r="43" spans="1:11" ht="15">
      <c r="A43" s="122">
        <v>45352</v>
      </c>
      <c r="B43" s="123">
        <v>0</v>
      </c>
      <c r="C43" s="123">
        <v>90164</v>
      </c>
      <c r="D43" s="63">
        <v>25620</v>
      </c>
      <c r="E43" s="123">
        <f>B43+C43+D43</f>
        <v>115784</v>
      </c>
      <c r="F43" s="123">
        <v>286239</v>
      </c>
      <c r="G43" s="123">
        <f>-(F43-E43)</f>
        <v>-170455</v>
      </c>
      <c r="H43" s="161"/>
      <c r="I43" s="63"/>
    </row>
    <row r="44" spans="1:11" ht="15">
      <c r="A44" s="306"/>
      <c r="B44" s="103"/>
      <c r="C44" s="103"/>
      <c r="E44" s="103"/>
      <c r="F44" s="103"/>
      <c r="G44" s="103"/>
    </row>
    <row r="47" spans="1:11" ht="15">
      <c r="A47" s="278" t="s">
        <v>1173</v>
      </c>
    </row>
    <row r="48" spans="1:11" ht="15">
      <c r="A48" s="278" t="s">
        <v>25</v>
      </c>
      <c r="B48" s="278" t="s">
        <v>393</v>
      </c>
      <c r="C48" s="278" t="s">
        <v>1169</v>
      </c>
      <c r="D48" s="278" t="s">
        <v>1167</v>
      </c>
      <c r="E48" s="278" t="s">
        <v>35</v>
      </c>
      <c r="F48" s="278" t="s">
        <v>1172</v>
      </c>
      <c r="G48" s="278" t="s">
        <v>284</v>
      </c>
      <c r="H48" s="278" t="s">
        <v>307</v>
      </c>
      <c r="I48" s="278" t="s">
        <v>1166</v>
      </c>
    </row>
    <row r="49" spans="1:9" ht="15">
      <c r="A49" s="310">
        <v>1</v>
      </c>
      <c r="B49" s="313" t="s">
        <v>742</v>
      </c>
      <c r="C49" s="310">
        <v>23916</v>
      </c>
      <c r="D49" s="309" t="s">
        <v>1164</v>
      </c>
      <c r="E49" s="644">
        <v>1.43</v>
      </c>
      <c r="F49" s="310"/>
      <c r="G49" s="314" t="s">
        <v>983</v>
      </c>
      <c r="H49" s="310"/>
      <c r="I49" s="310" t="s">
        <v>1165</v>
      </c>
    </row>
    <row r="50" spans="1:9" ht="15">
      <c r="A50" s="310">
        <v>2</v>
      </c>
      <c r="B50" s="313" t="s">
        <v>1123</v>
      </c>
      <c r="C50" s="310">
        <v>70800</v>
      </c>
      <c r="D50" s="309" t="s">
        <v>1171</v>
      </c>
      <c r="E50" s="643">
        <v>0.08</v>
      </c>
      <c r="F50" s="310" t="s">
        <v>1168</v>
      </c>
      <c r="G50" s="314" t="s">
        <v>983</v>
      </c>
      <c r="H50" s="310" t="s">
        <v>1170</v>
      </c>
      <c r="I50" s="310" t="s">
        <v>1122</v>
      </c>
    </row>
    <row r="51" spans="1:9" ht="15">
      <c r="A51" s="310"/>
      <c r="B51" s="310"/>
      <c r="C51" s="310"/>
      <c r="D51" s="310"/>
      <c r="E51" s="310"/>
      <c r="F51" s="310"/>
      <c r="G51" s="310"/>
      <c r="H51" s="310"/>
      <c r="I51" s="310"/>
    </row>
    <row r="52" spans="1:9" ht="15">
      <c r="A52" s="310"/>
      <c r="B52" s="310"/>
      <c r="C52" s="310"/>
      <c r="D52" s="310"/>
      <c r="E52" s="310"/>
      <c r="F52" s="310"/>
      <c r="G52" s="310"/>
      <c r="H52" s="310"/>
      <c r="I52" s="310"/>
    </row>
    <row r="53" spans="1:9" ht="15">
      <c r="A53" s="310"/>
      <c r="B53" s="310"/>
      <c r="C53" s="310"/>
      <c r="D53" s="310"/>
      <c r="E53" s="310"/>
      <c r="F53" s="310"/>
      <c r="G53" s="310"/>
      <c r="H53" s="310"/>
      <c r="I53" s="310"/>
    </row>
    <row r="54" spans="1:9" ht="15">
      <c r="A54" s="310"/>
      <c r="B54" s="310"/>
      <c r="C54" s="310"/>
      <c r="D54" s="310"/>
      <c r="E54" s="310"/>
      <c r="F54" s="310"/>
      <c r="G54" s="310"/>
      <c r="H54" s="310"/>
      <c r="I54" s="310"/>
    </row>
    <row r="55" spans="1:9" ht="15">
      <c r="A55" s="310"/>
      <c r="B55" s="310"/>
      <c r="C55" s="310"/>
      <c r="D55" s="310"/>
      <c r="E55" s="310"/>
      <c r="F55" s="310"/>
      <c r="G55" s="310"/>
      <c r="H55" s="310"/>
      <c r="I55" s="310"/>
    </row>
    <row r="56" spans="1:9" ht="15">
      <c r="A56" s="310"/>
      <c r="B56" s="314" t="s">
        <v>1174</v>
      </c>
      <c r="C56" s="313">
        <f>SUM(C49:C55)</f>
        <v>94716</v>
      </c>
      <c r="D56" s="310"/>
      <c r="E56" s="310"/>
      <c r="F56" s="310"/>
      <c r="G56" s="310"/>
      <c r="H56" s="310"/>
      <c r="I56" s="310"/>
    </row>
    <row r="57" spans="1:9">
      <c r="B57" s="583">
        <v>46023</v>
      </c>
      <c r="C57">
        <v>130000</v>
      </c>
      <c r="D57" t="s">
        <v>2182</v>
      </c>
    </row>
    <row r="63" spans="1:9" ht="18.75">
      <c r="A63" s="353" t="s">
        <v>1274</v>
      </c>
    </row>
    <row r="64" spans="1:9" ht="15">
      <c r="A64" s="278" t="s">
        <v>310</v>
      </c>
      <c r="B64" s="278" t="s">
        <v>1273</v>
      </c>
      <c r="C64" s="278" t="s">
        <v>1261</v>
      </c>
      <c r="D64" s="278" t="s">
        <v>730</v>
      </c>
      <c r="E64" s="278" t="s">
        <v>1263</v>
      </c>
      <c r="F64" s="278" t="s">
        <v>284</v>
      </c>
      <c r="G64" s="105"/>
      <c r="H64" s="105"/>
      <c r="I64" s="105"/>
    </row>
    <row r="65" spans="1:13" ht="15">
      <c r="A65" s="348" t="s">
        <v>1123</v>
      </c>
      <c r="B65" s="297" t="s">
        <v>1124</v>
      </c>
      <c r="C65" s="344" t="s">
        <v>1125</v>
      </c>
      <c r="D65" s="297" t="s">
        <v>1126</v>
      </c>
      <c r="E65" s="297" t="s">
        <v>1122</v>
      </c>
      <c r="F65" s="297" t="s">
        <v>266</v>
      </c>
      <c r="G65" s="105"/>
      <c r="I65" s="105"/>
    </row>
    <row r="66" spans="1:13">
      <c r="A66" s="63"/>
      <c r="B66" s="140"/>
      <c r="C66" s="140"/>
      <c r="D66" s="140"/>
      <c r="E66" s="161"/>
      <c r="F66" s="299"/>
      <c r="G66" s="105"/>
      <c r="H66" s="105"/>
      <c r="I66" s="105"/>
    </row>
    <row r="67" spans="1:13" ht="15">
      <c r="A67" s="297"/>
      <c r="B67" s="297"/>
      <c r="C67" s="297"/>
      <c r="D67" s="297"/>
      <c r="E67" s="297"/>
      <c r="F67" s="299"/>
      <c r="G67" s="105"/>
      <c r="H67" s="105"/>
      <c r="I67" s="105"/>
    </row>
    <row r="68" spans="1:13">
      <c r="A68" s="105"/>
      <c r="B68" s="105"/>
      <c r="C68" s="105"/>
      <c r="D68" s="105"/>
      <c r="E68" s="105"/>
      <c r="F68" s="105"/>
      <c r="G68" s="105"/>
      <c r="H68" s="105"/>
      <c r="I68" s="105"/>
    </row>
    <row r="69" spans="1:13">
      <c r="A69" s="105"/>
      <c r="B69" s="105"/>
      <c r="C69" s="105"/>
      <c r="D69" s="105"/>
      <c r="E69" s="105"/>
      <c r="F69" s="105"/>
      <c r="G69" s="105"/>
      <c r="H69" s="105"/>
      <c r="I69" s="105"/>
    </row>
    <row r="70" spans="1:13" ht="18.75">
      <c r="A70" s="353" t="s">
        <v>1138</v>
      </c>
      <c r="B70" s="105"/>
      <c r="C70" s="105"/>
      <c r="D70" s="105"/>
      <c r="E70" s="105"/>
      <c r="F70" s="105"/>
      <c r="G70" s="86"/>
      <c r="H70" s="105"/>
      <c r="I70" s="105"/>
    </row>
    <row r="71" spans="1:13" ht="15">
      <c r="A71" s="278" t="s">
        <v>310</v>
      </c>
      <c r="B71" s="278" t="s">
        <v>1273</v>
      </c>
      <c r="C71" s="278" t="s">
        <v>1261</v>
      </c>
      <c r="D71" s="278" t="s">
        <v>730</v>
      </c>
      <c r="E71" s="278" t="s">
        <v>1262</v>
      </c>
      <c r="F71" s="278" t="s">
        <v>1263</v>
      </c>
      <c r="G71" s="278" t="s">
        <v>1272</v>
      </c>
      <c r="H71" s="105"/>
      <c r="I71" s="105"/>
    </row>
    <row r="72" spans="1:13" ht="15">
      <c r="A72" s="348" t="s">
        <v>1127</v>
      </c>
      <c r="B72" s="308" t="s">
        <v>1130</v>
      </c>
      <c r="C72" s="308" t="s">
        <v>1131</v>
      </c>
      <c r="D72" s="352" t="s">
        <v>1128</v>
      </c>
      <c r="E72" s="347" t="s">
        <v>1264</v>
      </c>
      <c r="F72" s="297" t="s">
        <v>1129</v>
      </c>
      <c r="G72" s="354" t="s">
        <v>375</v>
      </c>
      <c r="H72" s="105"/>
      <c r="I72" s="105"/>
      <c r="J72" s="355">
        <f>24000*8</f>
        <v>192000</v>
      </c>
    </row>
    <row r="73" spans="1:13" ht="15">
      <c r="A73" s="348" t="s">
        <v>1137</v>
      </c>
      <c r="B73" s="308" t="s">
        <v>1136</v>
      </c>
      <c r="C73" s="347" t="s">
        <v>1073</v>
      </c>
      <c r="D73" s="352" t="s">
        <v>1135</v>
      </c>
      <c r="E73" s="347" t="s">
        <v>1258</v>
      </c>
      <c r="F73" s="348" t="s">
        <v>1276</v>
      </c>
      <c r="G73" s="349" t="s">
        <v>1275</v>
      </c>
      <c r="H73" s="297" t="s">
        <v>1259</v>
      </c>
      <c r="I73" s="105"/>
      <c r="J73" s="355">
        <f>42974*7</f>
        <v>300818</v>
      </c>
      <c r="K73" t="s">
        <v>1268</v>
      </c>
    </row>
    <row r="74" spans="1:13" ht="15">
      <c r="A74" s="310" t="s">
        <v>1269</v>
      </c>
      <c r="B74" s="310"/>
      <c r="C74" s="350" t="s">
        <v>1271</v>
      </c>
      <c r="D74" s="351" t="s">
        <v>1270</v>
      </c>
      <c r="E74" s="310"/>
      <c r="F74" s="297"/>
      <c r="G74" s="354" t="s">
        <v>375</v>
      </c>
      <c r="H74" s="105"/>
      <c r="I74" s="105"/>
      <c r="J74" s="347"/>
    </row>
    <row r="75" spans="1:13" ht="15">
      <c r="A75" s="311" t="s">
        <v>1142</v>
      </c>
      <c r="B75" s="310" t="s">
        <v>1145</v>
      </c>
      <c r="C75" s="310" t="s">
        <v>1144</v>
      </c>
      <c r="D75" s="331" t="s">
        <v>1143</v>
      </c>
      <c r="E75" s="346" t="s">
        <v>1257</v>
      </c>
      <c r="F75" s="297" t="s">
        <v>1260</v>
      </c>
      <c r="G75" s="140"/>
      <c r="H75" s="105"/>
      <c r="I75" s="105"/>
      <c r="J75" s="347"/>
    </row>
    <row r="76" spans="1:13" ht="15">
      <c r="A76" s="310" t="s">
        <v>1146</v>
      </c>
      <c r="B76" s="310" t="s">
        <v>1151</v>
      </c>
      <c r="C76" s="310" t="s">
        <v>1148</v>
      </c>
      <c r="D76" s="310" t="s">
        <v>1147</v>
      </c>
      <c r="E76" s="310"/>
      <c r="F76" s="297"/>
      <c r="G76" s="140"/>
      <c r="H76" s="105"/>
      <c r="I76" s="105"/>
      <c r="J76" s="347"/>
    </row>
    <row r="77" spans="1:13" ht="15">
      <c r="A77" s="310" t="s">
        <v>1149</v>
      </c>
      <c r="B77" s="310"/>
      <c r="C77" s="310" t="s">
        <v>1150</v>
      </c>
      <c r="D77" s="310" t="s">
        <v>1152</v>
      </c>
      <c r="E77" s="310"/>
      <c r="F77" s="297"/>
      <c r="G77" s="140"/>
      <c r="H77" s="105"/>
      <c r="I77" s="105"/>
      <c r="J77" s="347"/>
    </row>
    <row r="78" spans="1:13" ht="15">
      <c r="A78" s="311" t="s">
        <v>1153</v>
      </c>
      <c r="B78" s="310" t="s">
        <v>1154</v>
      </c>
      <c r="C78" s="310" t="s">
        <v>1155</v>
      </c>
      <c r="D78" s="310" t="s">
        <v>1156</v>
      </c>
      <c r="E78" s="310"/>
      <c r="G78" s="140"/>
      <c r="H78" s="105"/>
      <c r="I78" s="105"/>
      <c r="J78" s="347"/>
    </row>
    <row r="79" spans="1:13" ht="15">
      <c r="A79" s="310" t="s">
        <v>1157</v>
      </c>
      <c r="B79" s="310" t="s">
        <v>1158</v>
      </c>
      <c r="C79" s="310" t="s">
        <v>1159</v>
      </c>
      <c r="D79" s="310" t="s">
        <v>1160</v>
      </c>
      <c r="E79" s="310"/>
      <c r="F79" s="297"/>
      <c r="G79" s="140"/>
      <c r="H79" s="105"/>
      <c r="I79" s="105"/>
      <c r="J79" s="347"/>
      <c r="L79" t="s">
        <v>1266</v>
      </c>
    </row>
    <row r="80" spans="1:13" ht="15">
      <c r="H80" s="105"/>
      <c r="I80" s="105"/>
      <c r="J80" s="347">
        <f>SUM(J72:J74)</f>
        <v>492818</v>
      </c>
      <c r="L80">
        <v>526515</v>
      </c>
      <c r="M80" t="s">
        <v>1267</v>
      </c>
    </row>
    <row r="82" spans="2:2" ht="15">
      <c r="B82" s="297" t="s">
        <v>1162</v>
      </c>
    </row>
    <row r="83" spans="2:2" ht="15">
      <c r="B83" s="312" t="s">
        <v>1163</v>
      </c>
    </row>
    <row r="84" spans="2:2" ht="15">
      <c r="B84" s="312" t="s">
        <v>1161</v>
      </c>
    </row>
  </sheetData>
  <mergeCells count="1">
    <mergeCell ref="G6:I6"/>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J115"/>
  <sheetViews>
    <sheetView zoomScaleNormal="100" workbookViewId="0">
      <selection activeCell="D5" sqref="D5"/>
    </sheetView>
  </sheetViews>
  <sheetFormatPr defaultColWidth="8.875" defaultRowHeight="14.25"/>
  <cols>
    <col min="1" max="1" width="25.125" customWidth="1"/>
    <col min="2" max="2" width="21.5" customWidth="1"/>
    <col min="3" max="3" width="28.375" customWidth="1"/>
    <col min="4" max="4" width="27.375" customWidth="1"/>
    <col min="5" max="5" width="18.375" customWidth="1"/>
    <col min="6" max="6" width="16.25" customWidth="1"/>
    <col min="7" max="7" width="16.5" customWidth="1"/>
    <col min="8" max="8" width="15.375" customWidth="1"/>
    <col min="9" max="9" width="14.875" bestFit="1" customWidth="1"/>
    <col min="10" max="10" width="30.5" customWidth="1"/>
  </cols>
  <sheetData>
    <row r="2" spans="1:10" ht="15.75">
      <c r="A2" s="626" t="s">
        <v>310</v>
      </c>
      <c r="B2" s="626" t="s">
        <v>643</v>
      </c>
      <c r="C2" s="626" t="s">
        <v>644</v>
      </c>
      <c r="D2" s="626" t="s">
        <v>2099</v>
      </c>
      <c r="E2" s="626" t="s">
        <v>645</v>
      </c>
      <c r="F2" s="626" t="s">
        <v>901</v>
      </c>
      <c r="G2" s="626" t="s">
        <v>2092</v>
      </c>
      <c r="H2" s="626" t="s">
        <v>1036</v>
      </c>
      <c r="I2" s="626" t="s">
        <v>642</v>
      </c>
      <c r="J2" s="626" t="s">
        <v>2093</v>
      </c>
    </row>
    <row r="3" spans="1:10" ht="15">
      <c r="A3" s="123" t="s">
        <v>634</v>
      </c>
      <c r="B3" s="123" t="s">
        <v>630</v>
      </c>
      <c r="C3" s="133" t="s">
        <v>647</v>
      </c>
      <c r="D3" s="133" t="s">
        <v>1481</v>
      </c>
      <c r="E3" s="133" t="s">
        <v>646</v>
      </c>
      <c r="F3" s="133" t="s">
        <v>2150</v>
      </c>
      <c r="G3" s="317"/>
      <c r="H3" s="317"/>
      <c r="I3" s="133" t="s">
        <v>638</v>
      </c>
      <c r="J3" s="133" t="s">
        <v>314</v>
      </c>
    </row>
    <row r="4" spans="1:10" ht="15">
      <c r="A4" s="123" t="s">
        <v>635</v>
      </c>
      <c r="B4" s="133" t="s">
        <v>631</v>
      </c>
      <c r="C4" s="123" t="s">
        <v>649</v>
      </c>
      <c r="D4" s="133" t="s">
        <v>2100</v>
      </c>
      <c r="E4" s="317"/>
      <c r="F4" s="133" t="s">
        <v>2151</v>
      </c>
      <c r="G4" s="317"/>
      <c r="H4" s="317"/>
      <c r="I4" s="133" t="s">
        <v>639</v>
      </c>
      <c r="J4" s="133" t="s">
        <v>673</v>
      </c>
    </row>
    <row r="5" spans="1:10" ht="15">
      <c r="A5" s="123" t="s">
        <v>636</v>
      </c>
      <c r="B5" s="123" t="s">
        <v>632</v>
      </c>
      <c r="C5" s="133" t="s">
        <v>648</v>
      </c>
      <c r="D5" s="133" t="s">
        <v>2101</v>
      </c>
      <c r="E5" s="317"/>
      <c r="F5" s="133"/>
      <c r="G5" s="317"/>
      <c r="H5" s="317"/>
      <c r="I5" s="133" t="s">
        <v>640</v>
      </c>
      <c r="J5" s="133"/>
    </row>
    <row r="6" spans="1:10" ht="15">
      <c r="A6" s="123" t="s">
        <v>637</v>
      </c>
      <c r="B6" s="123" t="s">
        <v>633</v>
      </c>
      <c r="C6" s="123" t="s">
        <v>650</v>
      </c>
      <c r="D6" s="133" t="s">
        <v>2102</v>
      </c>
      <c r="E6" s="317"/>
      <c r="F6" s="133"/>
      <c r="G6" s="317"/>
      <c r="H6" s="317"/>
      <c r="I6" s="133" t="s">
        <v>641</v>
      </c>
      <c r="J6" s="133"/>
    </row>
    <row r="7" spans="1:10" ht="15">
      <c r="A7" s="623"/>
      <c r="B7" s="623"/>
      <c r="C7" s="623"/>
      <c r="D7" s="624"/>
      <c r="E7" s="623"/>
      <c r="F7" s="625"/>
      <c r="H7" s="103"/>
      <c r="I7" s="622"/>
      <c r="J7" s="622"/>
    </row>
    <row r="8" spans="1:10" ht="15">
      <c r="A8" s="623" t="s">
        <v>1265</v>
      </c>
      <c r="B8" s="317"/>
      <c r="C8" s="624" t="s">
        <v>2104</v>
      </c>
      <c r="D8" s="630" t="s">
        <v>431</v>
      </c>
      <c r="E8" s="623"/>
      <c r="F8" s="625"/>
      <c r="H8" s="103"/>
      <c r="I8" s="622"/>
      <c r="J8" s="622"/>
    </row>
    <row r="9" spans="1:10" ht="15">
      <c r="A9" s="623" t="s">
        <v>2103</v>
      </c>
      <c r="B9" s="317"/>
      <c r="C9" s="624" t="s">
        <v>2105</v>
      </c>
      <c r="E9" s="623"/>
      <c r="F9" s="625"/>
      <c r="H9" s="103"/>
      <c r="I9" s="622"/>
      <c r="J9" s="622"/>
    </row>
    <row r="12" spans="1:10" ht="15.75">
      <c r="A12" s="626" t="s">
        <v>2118</v>
      </c>
      <c r="B12" s="626"/>
      <c r="C12" s="626"/>
      <c r="D12" s="626"/>
      <c r="E12" s="626"/>
    </row>
    <row r="13" spans="1:10" ht="15">
      <c r="A13" s="628" t="s">
        <v>2119</v>
      </c>
      <c r="B13" s="629" t="s">
        <v>2098</v>
      </c>
      <c r="C13" s="628"/>
      <c r="D13" s="628"/>
      <c r="E13" s="627" t="s">
        <v>1208</v>
      </c>
    </row>
    <row r="14" spans="1:10" ht="15">
      <c r="A14" s="317"/>
      <c r="B14" s="63" t="s">
        <v>2094</v>
      </c>
      <c r="C14" s="63" t="s">
        <v>2120</v>
      </c>
      <c r="D14" s="63" t="s">
        <v>791</v>
      </c>
      <c r="E14" s="133" t="s">
        <v>806</v>
      </c>
    </row>
    <row r="15" spans="1:10" ht="15">
      <c r="A15" s="317"/>
      <c r="B15" s="63" t="s">
        <v>2095</v>
      </c>
      <c r="C15" s="63" t="s">
        <v>2122</v>
      </c>
      <c r="D15" s="63" t="s">
        <v>792</v>
      </c>
      <c r="E15" s="123" t="s">
        <v>795</v>
      </c>
    </row>
    <row r="16" spans="1:10" ht="15">
      <c r="A16" s="317"/>
      <c r="B16" s="63" t="s">
        <v>2096</v>
      </c>
      <c r="C16" s="63" t="s">
        <v>2121</v>
      </c>
      <c r="D16" s="63" t="s">
        <v>793</v>
      </c>
      <c r="E16" s="133" t="s">
        <v>807</v>
      </c>
    </row>
    <row r="17" spans="1:5" ht="15">
      <c r="A17" s="317"/>
      <c r="B17" s="63" t="s">
        <v>2097</v>
      </c>
      <c r="C17" s="63" t="s">
        <v>2123</v>
      </c>
      <c r="D17" s="63" t="s">
        <v>794</v>
      </c>
      <c r="E17" s="133" t="s">
        <v>808</v>
      </c>
    </row>
    <row r="20" spans="1:5" ht="15.75">
      <c r="A20" s="626"/>
    </row>
    <row r="25" spans="1:5" ht="15.75">
      <c r="A25" s="626" t="s">
        <v>381</v>
      </c>
      <c r="B25" s="626" t="s">
        <v>19</v>
      </c>
      <c r="C25" s="626" t="s">
        <v>7</v>
      </c>
      <c r="D25" s="626" t="s">
        <v>586</v>
      </c>
      <c r="E25" s="133"/>
    </row>
    <row r="26" spans="1:5" ht="15">
      <c r="A26" s="133"/>
      <c r="B26" s="133"/>
      <c r="C26" s="133"/>
      <c r="D26" s="133"/>
      <c r="E26" s="133"/>
    </row>
    <row r="27" spans="1:5" ht="15">
      <c r="A27" s="133" t="s">
        <v>263</v>
      </c>
      <c r="B27" s="133" t="s">
        <v>2114</v>
      </c>
      <c r="C27" s="133" t="s">
        <v>2115</v>
      </c>
      <c r="D27" s="133" t="s">
        <v>2116</v>
      </c>
      <c r="E27" s="133"/>
    </row>
    <row r="28" spans="1:5" ht="15">
      <c r="A28" s="133" t="s">
        <v>264</v>
      </c>
      <c r="B28" s="133" t="s">
        <v>2108</v>
      </c>
      <c r="C28" s="133" t="s">
        <v>2110</v>
      </c>
      <c r="D28" s="133" t="s">
        <v>2117</v>
      </c>
      <c r="E28" s="133"/>
    </row>
    <row r="29" spans="1:5" ht="15">
      <c r="A29" s="133" t="s">
        <v>263</v>
      </c>
      <c r="B29" s="133" t="s">
        <v>2109</v>
      </c>
      <c r="C29" s="133" t="s">
        <v>2111</v>
      </c>
      <c r="D29" s="133" t="s">
        <v>2106</v>
      </c>
      <c r="E29" s="133" t="s">
        <v>2107</v>
      </c>
    </row>
    <row r="30" spans="1:5" ht="15.75">
      <c r="A30" s="133" t="s">
        <v>264</v>
      </c>
      <c r="B30" s="133" t="s">
        <v>655</v>
      </c>
      <c r="C30" s="133" t="s">
        <v>2112</v>
      </c>
      <c r="D30" s="133" t="s">
        <v>591</v>
      </c>
      <c r="E30" s="316"/>
    </row>
    <row r="31" spans="1:5" ht="15.75">
      <c r="A31" s="133" t="s">
        <v>1204</v>
      </c>
      <c r="B31" s="133" t="s">
        <v>1957</v>
      </c>
      <c r="C31" s="133" t="s">
        <v>2113</v>
      </c>
      <c r="D31" s="133" t="s">
        <v>1207</v>
      </c>
      <c r="E31" s="316"/>
    </row>
    <row r="32" spans="1:5" ht="15.75">
      <c r="A32" s="133" t="s">
        <v>1205</v>
      </c>
      <c r="B32" s="133" t="s">
        <v>1956</v>
      </c>
      <c r="C32" s="133" t="s">
        <v>842</v>
      </c>
      <c r="D32" s="133" t="s">
        <v>1206</v>
      </c>
      <c r="E32" s="316"/>
    </row>
    <row r="33" spans="1:7" ht="15">
      <c r="A33" s="133" t="s">
        <v>1205</v>
      </c>
      <c r="B33" s="133" t="s">
        <v>1955</v>
      </c>
      <c r="C33" s="133" t="s">
        <v>1958</v>
      </c>
      <c r="D33" s="133" t="s">
        <v>1959</v>
      </c>
    </row>
    <row r="34" spans="1:7" ht="15">
      <c r="A34" s="622"/>
      <c r="B34" s="622"/>
      <c r="C34" s="622"/>
      <c r="D34" s="622"/>
    </row>
    <row r="36" spans="1:7" ht="15.75">
      <c r="A36" s="165" t="s">
        <v>578</v>
      </c>
      <c r="B36" s="165" t="s">
        <v>19</v>
      </c>
      <c r="C36" s="165" t="s">
        <v>579</v>
      </c>
      <c r="D36" s="165" t="s">
        <v>580</v>
      </c>
      <c r="E36" s="165" t="s">
        <v>581</v>
      </c>
      <c r="F36" s="165" t="s">
        <v>307</v>
      </c>
      <c r="G36" s="165"/>
    </row>
    <row r="37" spans="1:7" ht="15.75">
      <c r="A37" s="137" t="s">
        <v>570</v>
      </c>
      <c r="B37" s="137" t="s">
        <v>573</v>
      </c>
      <c r="C37" s="137" t="s">
        <v>571</v>
      </c>
      <c r="D37" s="137" t="s">
        <v>572</v>
      </c>
      <c r="E37" s="137" t="s">
        <v>566</v>
      </c>
      <c r="F37" s="137"/>
      <c r="G37" s="137"/>
    </row>
    <row r="38" spans="1:7" ht="15.75">
      <c r="A38" s="137" t="s">
        <v>565</v>
      </c>
      <c r="B38" s="137" t="s">
        <v>569</v>
      </c>
      <c r="C38" s="137" t="s">
        <v>567</v>
      </c>
      <c r="D38" s="137" t="s">
        <v>568</v>
      </c>
      <c r="E38" s="137" t="s">
        <v>566</v>
      </c>
      <c r="F38" s="137"/>
      <c r="G38" s="137"/>
    </row>
    <row r="39" spans="1:7" ht="15.75">
      <c r="A39" s="137" t="s">
        <v>576</v>
      </c>
      <c r="B39" s="137" t="s">
        <v>1963</v>
      </c>
      <c r="C39" s="137" t="s">
        <v>574</v>
      </c>
      <c r="D39" s="137" t="s">
        <v>575</v>
      </c>
      <c r="E39" s="137" t="s">
        <v>577</v>
      </c>
      <c r="F39" s="137" t="s">
        <v>1961</v>
      </c>
      <c r="G39" s="137"/>
    </row>
    <row r="40" spans="1:7" ht="15.75">
      <c r="A40" s="137"/>
      <c r="B40" s="137"/>
      <c r="C40" s="137" t="s">
        <v>1960</v>
      </c>
      <c r="D40" s="137"/>
      <c r="E40" s="137" t="s">
        <v>1962</v>
      </c>
      <c r="F40" s="137"/>
      <c r="G40" s="137"/>
    </row>
    <row r="41" spans="1:7" ht="15.75">
      <c r="E41" s="594"/>
    </row>
    <row r="44" spans="1:7" ht="15.75">
      <c r="A44" s="138" t="s">
        <v>308</v>
      </c>
      <c r="B44" s="138" t="s">
        <v>546</v>
      </c>
      <c r="C44" s="138" t="s">
        <v>553</v>
      </c>
      <c r="D44" s="138" t="s">
        <v>841</v>
      </c>
      <c r="E44" s="138" t="s">
        <v>7</v>
      </c>
      <c r="F44" s="138" t="s">
        <v>582</v>
      </c>
      <c r="G44" s="138" t="s">
        <v>584</v>
      </c>
    </row>
    <row r="45" spans="1:7" ht="15.75">
      <c r="A45" s="137" t="s">
        <v>600</v>
      </c>
      <c r="B45" s="137" t="s">
        <v>313</v>
      </c>
      <c r="C45" s="137" t="s">
        <v>599</v>
      </c>
      <c r="D45" s="137" t="s">
        <v>598</v>
      </c>
      <c r="E45" s="137"/>
      <c r="F45" s="137"/>
      <c r="G45" s="137"/>
    </row>
    <row r="46" spans="1:7" ht="15.75">
      <c r="A46" s="137" t="s">
        <v>594</v>
      </c>
      <c r="B46" s="137" t="s">
        <v>313</v>
      </c>
      <c r="C46" s="137"/>
      <c r="D46" s="137" t="s">
        <v>847</v>
      </c>
      <c r="E46" s="137"/>
      <c r="F46" s="137"/>
      <c r="G46" s="137"/>
    </row>
    <row r="47" spans="1:7" ht="15.75">
      <c r="A47" s="137" t="s">
        <v>596</v>
      </c>
      <c r="B47" s="137" t="s">
        <v>313</v>
      </c>
      <c r="C47" s="137" t="s">
        <v>597</v>
      </c>
      <c r="D47" s="137" t="s">
        <v>847</v>
      </c>
      <c r="E47" s="137"/>
      <c r="F47" s="137"/>
      <c r="G47" s="137"/>
    </row>
    <row r="48" spans="1:7" ht="15.75">
      <c r="A48" s="137" t="s">
        <v>592</v>
      </c>
      <c r="B48" s="137"/>
      <c r="C48" s="137"/>
      <c r="D48" s="137" t="s">
        <v>848</v>
      </c>
      <c r="E48" s="137" t="s">
        <v>595</v>
      </c>
      <c r="F48" s="137"/>
      <c r="G48" s="137"/>
    </row>
    <row r="49" spans="1:7" ht="15.75">
      <c r="A49" s="137" t="s">
        <v>593</v>
      </c>
      <c r="B49" s="137" t="s">
        <v>313</v>
      </c>
      <c r="C49" s="137"/>
      <c r="D49" s="137" t="s">
        <v>848</v>
      </c>
      <c r="E49" s="137"/>
      <c r="F49" s="137"/>
      <c r="G49" s="137"/>
    </row>
    <row r="50" spans="1:7" ht="15.75">
      <c r="A50" s="137" t="s">
        <v>473</v>
      </c>
      <c r="B50" s="137" t="s">
        <v>549</v>
      </c>
      <c r="C50" s="317"/>
      <c r="D50" s="137" t="s">
        <v>849</v>
      </c>
      <c r="E50" s="251" t="s">
        <v>924</v>
      </c>
      <c r="F50" s="137"/>
      <c r="G50" s="137"/>
    </row>
    <row r="51" spans="1:7" ht="15.75">
      <c r="A51" s="137" t="s">
        <v>477</v>
      </c>
      <c r="B51" s="137" t="s">
        <v>547</v>
      </c>
      <c r="C51" s="317"/>
      <c r="D51" s="317"/>
      <c r="E51" s="317"/>
      <c r="F51" s="317"/>
      <c r="G51" s="317"/>
    </row>
    <row r="52" spans="1:7" ht="15.75">
      <c r="A52" s="137" t="s">
        <v>479</v>
      </c>
      <c r="B52" s="137" t="s">
        <v>548</v>
      </c>
      <c r="C52" s="317"/>
      <c r="D52" s="317"/>
      <c r="E52" s="317"/>
      <c r="F52" s="317"/>
      <c r="G52" s="317"/>
    </row>
    <row r="53" spans="1:7" ht="15.75">
      <c r="A53" s="137" t="s">
        <v>481</v>
      </c>
      <c r="B53" s="137" t="s">
        <v>550</v>
      </c>
      <c r="C53" s="137" t="s">
        <v>699</v>
      </c>
      <c r="D53" s="137" t="s">
        <v>842</v>
      </c>
      <c r="E53" s="137" t="s">
        <v>941</v>
      </c>
      <c r="F53" s="137"/>
      <c r="G53" s="137"/>
    </row>
    <row r="54" spans="1:7" ht="15.75">
      <c r="A54" s="137" t="s">
        <v>921</v>
      </c>
      <c r="B54" s="137" t="s">
        <v>551</v>
      </c>
      <c r="C54" s="137" t="s">
        <v>552</v>
      </c>
      <c r="D54" s="137" t="s">
        <v>843</v>
      </c>
      <c r="E54" s="137" t="s">
        <v>920</v>
      </c>
      <c r="F54" s="137" t="s">
        <v>583</v>
      </c>
      <c r="G54" s="137" t="s">
        <v>585</v>
      </c>
    </row>
    <row r="55" spans="1:7" ht="15.75">
      <c r="A55" s="137" t="s">
        <v>587</v>
      </c>
      <c r="B55" s="137" t="s">
        <v>554</v>
      </c>
      <c r="C55" s="137" t="s">
        <v>555</v>
      </c>
      <c r="D55" s="137" t="s">
        <v>844</v>
      </c>
      <c r="E55" s="137" t="s">
        <v>922</v>
      </c>
      <c r="F55" s="137" t="s">
        <v>588</v>
      </c>
      <c r="G55" s="137">
        <f>911244700200  /246</f>
        <v>3704246748.780488</v>
      </c>
    </row>
    <row r="56" spans="1:7" ht="15.75">
      <c r="A56" s="137" t="s">
        <v>590</v>
      </c>
      <c r="B56" s="137" t="s">
        <v>556</v>
      </c>
      <c r="C56" s="137" t="s">
        <v>557</v>
      </c>
      <c r="D56" s="137" t="s">
        <v>846</v>
      </c>
      <c r="E56" s="251" t="s">
        <v>923</v>
      </c>
      <c r="F56" s="137" t="s">
        <v>589</v>
      </c>
      <c r="G56" s="137" t="s">
        <v>1967</v>
      </c>
    </row>
    <row r="57" spans="1:7" ht="15.75">
      <c r="A57" s="137" t="s">
        <v>845</v>
      </c>
      <c r="B57" s="137" t="s">
        <v>556</v>
      </c>
      <c r="C57" s="137" t="s">
        <v>557</v>
      </c>
      <c r="D57" s="137" t="s">
        <v>844</v>
      </c>
      <c r="E57" s="251" t="s">
        <v>994</v>
      </c>
      <c r="F57" s="251" t="s">
        <v>2010</v>
      </c>
      <c r="G57" s="251" t="s">
        <v>1966</v>
      </c>
    </row>
    <row r="58" spans="1:7" ht="15.75">
      <c r="A58" s="137" t="s">
        <v>995</v>
      </c>
      <c r="B58" s="251" t="s">
        <v>996</v>
      </c>
      <c r="C58" s="137" t="s">
        <v>1965</v>
      </c>
      <c r="D58" s="137"/>
      <c r="E58" s="251" t="s">
        <v>1964</v>
      </c>
      <c r="F58" s="251" t="s">
        <v>997</v>
      </c>
      <c r="G58" s="251" t="s">
        <v>1992</v>
      </c>
    </row>
    <row r="59" spans="1:7" ht="15.75">
      <c r="A59" s="592"/>
      <c r="B59" s="593"/>
      <c r="C59" s="592"/>
      <c r="D59" s="592"/>
      <c r="E59" s="593"/>
      <c r="F59" s="593"/>
    </row>
    <row r="60" spans="1:7" ht="15.75">
      <c r="A60" s="592"/>
      <c r="B60" s="593"/>
      <c r="C60" s="592"/>
      <c r="D60" s="592"/>
      <c r="E60" s="593"/>
      <c r="F60" s="593"/>
    </row>
    <row r="62" spans="1:7" ht="15.75">
      <c r="A62" s="599" t="s">
        <v>1986</v>
      </c>
      <c r="B62" s="138"/>
      <c r="C62" s="138"/>
      <c r="D62" s="138"/>
    </row>
    <row r="63" spans="1:7" ht="15.75">
      <c r="A63" s="137" t="s">
        <v>1990</v>
      </c>
      <c r="B63" s="137" t="s">
        <v>1991</v>
      </c>
      <c r="C63" s="317" t="s">
        <v>471</v>
      </c>
      <c r="D63" s="137"/>
    </row>
    <row r="64" spans="1:7" ht="15.75">
      <c r="A64" s="137" t="s">
        <v>1987</v>
      </c>
      <c r="B64" s="137" t="s">
        <v>1989</v>
      </c>
      <c r="C64" s="137" t="s">
        <v>1988</v>
      </c>
      <c r="D64" s="137"/>
    </row>
    <row r="67" spans="1:7">
      <c r="F67" s="595"/>
    </row>
    <row r="68" spans="1:7" ht="15">
      <c r="A68" s="175" t="s">
        <v>654</v>
      </c>
      <c r="B68" s="103"/>
      <c r="C68" s="103"/>
      <c r="D68" s="103"/>
      <c r="E68" s="103"/>
      <c r="F68" s="103"/>
      <c r="G68" s="103"/>
    </row>
    <row r="69" spans="1:7" ht="15.75">
      <c r="A69" s="137" t="s">
        <v>651</v>
      </c>
      <c r="B69" s="137"/>
      <c r="C69" s="103"/>
      <c r="D69" s="103"/>
      <c r="E69" s="103"/>
      <c r="F69" s="103"/>
      <c r="G69" s="103"/>
    </row>
    <row r="70" spans="1:7" ht="15.75">
      <c r="A70" s="137" t="s">
        <v>557</v>
      </c>
      <c r="B70" s="137"/>
      <c r="C70" s="103"/>
      <c r="D70" s="103"/>
      <c r="E70" s="103"/>
      <c r="F70" s="103"/>
      <c r="G70" s="103"/>
    </row>
    <row r="71" spans="1:7" ht="15.75">
      <c r="A71" s="137" t="s">
        <v>652</v>
      </c>
      <c r="B71" s="137"/>
      <c r="C71" s="103"/>
      <c r="D71" s="103"/>
      <c r="E71" s="103"/>
      <c r="F71" s="103"/>
      <c r="G71" s="103"/>
    </row>
    <row r="72" spans="1:7" ht="15.75">
      <c r="A72" s="137" t="s">
        <v>653</v>
      </c>
      <c r="B72" s="137"/>
      <c r="C72" s="103"/>
      <c r="D72" s="103"/>
      <c r="E72" s="103"/>
      <c r="F72" s="103"/>
      <c r="G72" s="103"/>
    </row>
    <row r="73" spans="1:7" ht="15.75">
      <c r="A73" s="137"/>
      <c r="B73" s="137"/>
      <c r="C73" s="103"/>
      <c r="D73" s="103"/>
      <c r="E73" s="103"/>
      <c r="F73" s="103"/>
      <c r="G73" s="103"/>
    </row>
    <row r="74" spans="1:7" ht="15">
      <c r="A74" s="103"/>
      <c r="B74" s="176"/>
      <c r="C74" s="103"/>
      <c r="D74" s="103"/>
      <c r="E74" s="103"/>
      <c r="F74" s="103"/>
      <c r="G74" s="103"/>
    </row>
    <row r="78" spans="1:7" ht="15">
      <c r="A78" s="623"/>
      <c r="B78" s="623"/>
      <c r="C78" s="623"/>
      <c r="D78" s="623"/>
      <c r="E78" s="623"/>
      <c r="F78" s="623"/>
      <c r="G78" s="622"/>
    </row>
    <row r="79" spans="1:7" ht="15">
      <c r="A79" s="123" t="s">
        <v>796</v>
      </c>
      <c r="B79" s="123" t="s">
        <v>797</v>
      </c>
      <c r="C79" s="123"/>
      <c r="D79" s="123"/>
      <c r="E79" s="123"/>
      <c r="F79" s="123"/>
    </row>
    <row r="80" spans="1:7" ht="15">
      <c r="A80" s="123" t="s">
        <v>798</v>
      </c>
      <c r="B80" s="123" t="s">
        <v>799</v>
      </c>
      <c r="C80" s="63"/>
      <c r="D80" s="123" t="s">
        <v>801</v>
      </c>
      <c r="E80" s="123" t="s">
        <v>800</v>
      </c>
      <c r="F80" s="123"/>
    </row>
    <row r="81" spans="1:6" ht="15">
      <c r="A81" s="123" t="s">
        <v>802</v>
      </c>
      <c r="B81" s="123" t="s">
        <v>803</v>
      </c>
      <c r="C81" s="63"/>
      <c r="D81" s="123" t="s">
        <v>805</v>
      </c>
      <c r="E81" s="123" t="s">
        <v>804</v>
      </c>
      <c r="F81" s="123"/>
    </row>
    <row r="82" spans="1:6" ht="15">
      <c r="A82" s="123"/>
      <c r="B82" s="123"/>
      <c r="C82" s="63"/>
      <c r="D82" s="63"/>
      <c r="E82" s="63"/>
      <c r="F82" s="63"/>
    </row>
    <row r="91" spans="1:6">
      <c r="A91" t="s">
        <v>2128</v>
      </c>
    </row>
    <row r="92" spans="1:6">
      <c r="A92" t="s">
        <v>2129</v>
      </c>
    </row>
    <row r="93" spans="1:6">
      <c r="A93" t="s">
        <v>2130</v>
      </c>
    </row>
    <row r="94" spans="1:6">
      <c r="A94" t="s">
        <v>2131</v>
      </c>
    </row>
    <row r="95" spans="1:6">
      <c r="A95" t="s">
        <v>2132</v>
      </c>
    </row>
    <row r="96" spans="1:6">
      <c r="A96" t="s">
        <v>2133</v>
      </c>
    </row>
    <row r="97" spans="1:4">
      <c r="A97" t="s">
        <v>2134</v>
      </c>
    </row>
    <row r="98" spans="1:4">
      <c r="A98" t="s">
        <v>2135</v>
      </c>
    </row>
    <row r="99" spans="1:4">
      <c r="A99" t="s">
        <v>2136</v>
      </c>
    </row>
    <row r="101" spans="1:4">
      <c r="A101" t="s">
        <v>2137</v>
      </c>
    </row>
    <row r="102" spans="1:4">
      <c r="A102" t="s">
        <v>2138</v>
      </c>
    </row>
    <row r="103" spans="1:4">
      <c r="A103" t="s">
        <v>2139</v>
      </c>
      <c r="D103" t="s">
        <v>2140</v>
      </c>
    </row>
    <row r="105" spans="1:4">
      <c r="A105" t="s">
        <v>2141</v>
      </c>
    </row>
    <row r="106" spans="1:4">
      <c r="A106" t="s">
        <v>2142</v>
      </c>
    </row>
    <row r="107" spans="1:4">
      <c r="A107" t="s">
        <v>2143</v>
      </c>
    </row>
    <row r="109" spans="1:4">
      <c r="A109" t="s">
        <v>2144</v>
      </c>
    </row>
    <row r="110" spans="1:4">
      <c r="A110" t="s">
        <v>2145</v>
      </c>
    </row>
    <row r="111" spans="1:4">
      <c r="A111" t="s">
        <v>2146</v>
      </c>
    </row>
    <row r="113" spans="1:1">
      <c r="A113" t="s">
        <v>2147</v>
      </c>
    </row>
    <row r="114" spans="1:1">
      <c r="A114" t="s">
        <v>2148</v>
      </c>
    </row>
    <row r="115" spans="1:1">
      <c r="A115" t="s">
        <v>2149</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70E97-3D6D-469B-983A-83A27680B47D}">
  <sheetPr codeName="Sheet1"/>
  <dimension ref="A1:AG80"/>
  <sheetViews>
    <sheetView zoomScaleNormal="100" workbookViewId="0">
      <pane xSplit="3" ySplit="1" topLeftCell="D18" activePane="bottomRight" state="frozen"/>
      <selection pane="topRight" activeCell="D1" sqref="D1"/>
      <selection pane="bottomLeft" activeCell="A2" sqref="A2"/>
      <selection pane="bottomRight" activeCell="B34" sqref="B34"/>
    </sheetView>
  </sheetViews>
  <sheetFormatPr defaultColWidth="8.875" defaultRowHeight="14.25"/>
  <cols>
    <col min="1" max="1" width="4.375" customWidth="1"/>
    <col min="2" max="2" width="41.75" customWidth="1"/>
    <col min="3" max="3" width="12.5" style="86" customWidth="1"/>
    <col min="4" max="4" width="9.5" style="86" customWidth="1"/>
    <col min="5" max="5" width="12.625" style="86" bestFit="1" customWidth="1"/>
    <col min="6" max="6" width="8.875" style="73" customWidth="1"/>
    <col min="7" max="7" width="7.875" style="73" customWidth="1"/>
    <col min="8" max="8" width="10.875" style="86" customWidth="1"/>
    <col min="9" max="9" width="14.5" style="105" customWidth="1"/>
    <col min="10" max="10" width="16.75" style="105" customWidth="1"/>
    <col min="11" max="11" width="11" style="86" customWidth="1"/>
    <col min="12" max="12" width="13.25" style="86" customWidth="1"/>
    <col min="13" max="13" width="14.25" style="86" customWidth="1"/>
    <col min="14" max="14" width="15.5" style="86" customWidth="1"/>
    <col min="15" max="15" width="25.625" style="86" customWidth="1"/>
    <col min="16" max="16" width="11.125" style="119" customWidth="1"/>
    <col min="17" max="17" width="10.375" style="119" customWidth="1"/>
    <col min="18" max="18" width="12.25" style="119" customWidth="1"/>
    <col min="19" max="19" width="8.625" style="119" customWidth="1"/>
    <col min="20" max="20" width="12.5" style="228" bestFit="1" customWidth="1"/>
    <col min="21" max="21" width="10.75" style="228" customWidth="1"/>
    <col min="22" max="22" width="9.125" style="228" customWidth="1"/>
    <col min="23" max="23" width="13.5" style="228" customWidth="1"/>
    <col min="24" max="24" width="10.875" style="186" customWidth="1"/>
    <col min="25" max="25" width="9.125" style="186" customWidth="1"/>
    <col min="26" max="26" width="13.75" style="186" customWidth="1"/>
    <col min="27" max="27" width="11" style="86" customWidth="1"/>
    <col min="28" max="28" width="23.5" customWidth="1"/>
    <col min="29" max="29" width="25.5" customWidth="1"/>
    <col min="30" max="30" width="28.5" bestFit="1" customWidth="1"/>
  </cols>
  <sheetData>
    <row r="1" spans="1:33" s="388" customFormat="1" ht="15">
      <c r="A1" s="216" t="s">
        <v>25</v>
      </c>
      <c r="B1" s="216" t="s">
        <v>394</v>
      </c>
      <c r="C1" s="216" t="s">
        <v>387</v>
      </c>
      <c r="D1" s="216" t="s">
        <v>398</v>
      </c>
      <c r="E1" s="216" t="s">
        <v>284</v>
      </c>
      <c r="F1" s="387" t="s">
        <v>732</v>
      </c>
      <c r="G1" s="216" t="s">
        <v>381</v>
      </c>
      <c r="H1" s="216" t="s">
        <v>393</v>
      </c>
      <c r="I1" s="216" t="s">
        <v>180</v>
      </c>
      <c r="J1" s="385" t="s">
        <v>1</v>
      </c>
      <c r="K1" s="385" t="s">
        <v>978</v>
      </c>
      <c r="L1" s="216" t="s">
        <v>386</v>
      </c>
      <c r="M1" s="216" t="s">
        <v>382</v>
      </c>
      <c r="N1" s="216" t="s">
        <v>734</v>
      </c>
      <c r="O1" s="216" t="s">
        <v>389</v>
      </c>
      <c r="P1" s="216" t="s">
        <v>402</v>
      </c>
      <c r="Q1" s="386" t="s">
        <v>383</v>
      </c>
      <c r="R1" s="386" t="s">
        <v>384</v>
      </c>
      <c r="S1" s="216" t="s">
        <v>722</v>
      </c>
      <c r="T1" s="216" t="s">
        <v>723</v>
      </c>
      <c r="U1" s="216" t="s">
        <v>724</v>
      </c>
      <c r="V1" s="216" t="s">
        <v>725</v>
      </c>
      <c r="W1" s="387" t="s">
        <v>732</v>
      </c>
      <c r="X1" s="387" t="s">
        <v>730</v>
      </c>
      <c r="Y1" s="387" t="s">
        <v>731</v>
      </c>
      <c r="Z1" s="216" t="s">
        <v>746</v>
      </c>
      <c r="AA1" s="216" t="s">
        <v>391</v>
      </c>
      <c r="AB1" s="216" t="s">
        <v>529</v>
      </c>
      <c r="AC1" s="216" t="s">
        <v>528</v>
      </c>
    </row>
    <row r="2" spans="1:33" s="104" customFormat="1" ht="15">
      <c r="A2" s="109">
        <v>1</v>
      </c>
      <c r="B2" s="196" t="s">
        <v>0</v>
      </c>
      <c r="C2" s="112" t="s">
        <v>313</v>
      </c>
      <c r="D2" s="114" t="s">
        <v>136</v>
      </c>
      <c r="E2" s="112" t="s">
        <v>403</v>
      </c>
      <c r="F2" s="414">
        <f>W2</f>
        <v>0.6428571428571429</v>
      </c>
      <c r="G2" s="217" t="s">
        <v>14</v>
      </c>
      <c r="H2" s="217" t="s">
        <v>58</v>
      </c>
      <c r="I2" s="112" t="s">
        <v>397</v>
      </c>
      <c r="J2" s="110">
        <v>7889578</v>
      </c>
      <c r="K2" s="110"/>
      <c r="L2" s="114">
        <v>40725</v>
      </c>
      <c r="M2" s="112" t="s">
        <v>181</v>
      </c>
      <c r="N2" s="112"/>
      <c r="O2" s="112">
        <v>4000</v>
      </c>
      <c r="P2" s="112">
        <v>14</v>
      </c>
      <c r="Q2" s="117">
        <f>O2*P2</f>
        <v>56000</v>
      </c>
      <c r="R2" s="117"/>
      <c r="S2" s="227"/>
      <c r="T2" s="227"/>
      <c r="U2" s="227">
        <v>92000</v>
      </c>
      <c r="V2" s="369">
        <f t="shared" ref="V2:V27" si="0">U2-Q2</f>
        <v>36000</v>
      </c>
      <c r="W2" s="192">
        <f t="shared" ref="W2:W19" si="1">(U2-Q2)/Q2</f>
        <v>0.6428571428571429</v>
      </c>
      <c r="X2" s="185"/>
      <c r="Y2" s="185"/>
      <c r="Z2" s="114">
        <v>42278</v>
      </c>
      <c r="AA2" s="109"/>
      <c r="AB2" s="109"/>
      <c r="AC2" s="109"/>
    </row>
    <row r="3" spans="1:33" s="104" customFormat="1" ht="15">
      <c r="A3" s="109">
        <f>A2+1</f>
        <v>2</v>
      </c>
      <c r="B3" s="196" t="s">
        <v>3</v>
      </c>
      <c r="C3" s="112" t="s">
        <v>313</v>
      </c>
      <c r="D3" s="114" t="s">
        <v>136</v>
      </c>
      <c r="E3" s="112" t="s">
        <v>403</v>
      </c>
      <c r="F3" s="414">
        <f t="shared" ref="F3:F31" si="2">W3</f>
        <v>0.6785714285714286</v>
      </c>
      <c r="G3" s="217" t="s">
        <v>14</v>
      </c>
      <c r="H3" s="218" t="s">
        <v>686</v>
      </c>
      <c r="I3" s="112" t="s">
        <v>397</v>
      </c>
      <c r="J3" s="421" t="s">
        <v>4</v>
      </c>
      <c r="K3" s="110"/>
      <c r="L3" s="114">
        <v>40725</v>
      </c>
      <c r="M3" s="112" t="s">
        <v>181</v>
      </c>
      <c r="N3" s="112"/>
      <c r="O3" s="112">
        <v>2000</v>
      </c>
      <c r="P3" s="112">
        <v>14</v>
      </c>
      <c r="Q3" s="117">
        <f>O3*P3</f>
        <v>28000</v>
      </c>
      <c r="R3" s="117"/>
      <c r="S3" s="227"/>
      <c r="T3" s="227"/>
      <c r="U3" s="227">
        <v>47000</v>
      </c>
      <c r="V3" s="369">
        <f t="shared" si="0"/>
        <v>19000</v>
      </c>
      <c r="W3" s="192">
        <f t="shared" si="1"/>
        <v>0.6785714285714286</v>
      </c>
      <c r="X3" s="185"/>
      <c r="Y3" s="185"/>
      <c r="Z3" s="114">
        <v>42278</v>
      </c>
      <c r="AA3" s="109"/>
      <c r="AB3" s="109"/>
      <c r="AC3" s="109"/>
    </row>
    <row r="4" spans="1:33" s="104" customFormat="1" ht="15">
      <c r="A4" s="109">
        <f t="shared" ref="A4:A33" si="3">A3+1</f>
        <v>3</v>
      </c>
      <c r="B4" s="196" t="s">
        <v>8</v>
      </c>
      <c r="C4" s="112" t="s">
        <v>313</v>
      </c>
      <c r="D4" s="114" t="s">
        <v>136</v>
      </c>
      <c r="E4" s="112" t="s">
        <v>403</v>
      </c>
      <c r="F4" s="414">
        <f t="shared" si="2"/>
        <v>0.67708333333333337</v>
      </c>
      <c r="G4" s="217" t="s">
        <v>14</v>
      </c>
      <c r="H4" s="218" t="s">
        <v>59</v>
      </c>
      <c r="I4" s="112" t="s">
        <v>397</v>
      </c>
      <c r="J4" s="110" t="s">
        <v>268</v>
      </c>
      <c r="K4" s="110"/>
      <c r="L4" s="114">
        <v>42036</v>
      </c>
      <c r="M4" s="112" t="s">
        <v>181</v>
      </c>
      <c r="N4" s="112"/>
      <c r="O4" s="112">
        <v>4000</v>
      </c>
      <c r="P4" s="112">
        <v>24</v>
      </c>
      <c r="Q4" s="117">
        <f>O4*P4</f>
        <v>96000</v>
      </c>
      <c r="R4" s="117">
        <v>24.39</v>
      </c>
      <c r="S4" s="227">
        <v>44.33</v>
      </c>
      <c r="T4" s="227">
        <v>3667</v>
      </c>
      <c r="U4" s="227">
        <v>161000</v>
      </c>
      <c r="V4" s="369">
        <f>U4-Q4</f>
        <v>65000</v>
      </c>
      <c r="W4" s="192">
        <f t="shared" ref="W4:W9" si="4">(U4-Q4)/Q4</f>
        <v>0.67708333333333337</v>
      </c>
      <c r="X4" s="185"/>
      <c r="Y4" s="185"/>
      <c r="Z4" s="114">
        <v>43132</v>
      </c>
      <c r="AA4" s="109"/>
      <c r="AB4" s="109"/>
      <c r="AC4" s="109"/>
    </row>
    <row r="5" spans="1:33" s="112" customFormat="1" ht="15">
      <c r="A5" s="109">
        <f t="shared" si="3"/>
        <v>4</v>
      </c>
      <c r="B5" s="196" t="s">
        <v>61</v>
      </c>
      <c r="C5" s="112" t="s">
        <v>313</v>
      </c>
      <c r="D5" s="112" t="s">
        <v>136</v>
      </c>
      <c r="E5" s="112" t="s">
        <v>403</v>
      </c>
      <c r="F5" s="414">
        <f t="shared" si="2"/>
        <v>0.73297500000000004</v>
      </c>
      <c r="G5" s="217" t="s">
        <v>14</v>
      </c>
      <c r="H5" s="219" t="s">
        <v>59</v>
      </c>
      <c r="I5" s="112" t="s">
        <v>401</v>
      </c>
      <c r="J5" s="217">
        <v>9102970414</v>
      </c>
      <c r="K5" s="217"/>
      <c r="L5" s="112">
        <v>43220</v>
      </c>
      <c r="M5" s="112" t="s">
        <v>396</v>
      </c>
      <c r="O5" s="112" t="s">
        <v>313</v>
      </c>
      <c r="P5" s="112" t="s">
        <v>313</v>
      </c>
      <c r="Q5" s="112">
        <v>40000</v>
      </c>
      <c r="R5" s="112">
        <v>63.1</v>
      </c>
      <c r="S5" s="254" t="s">
        <v>928</v>
      </c>
      <c r="T5" s="112">
        <v>634</v>
      </c>
      <c r="U5" s="227">
        <v>69319</v>
      </c>
      <c r="V5" s="369">
        <f>U5-Q5</f>
        <v>29319</v>
      </c>
      <c r="W5" s="192">
        <f t="shared" si="4"/>
        <v>0.73297500000000004</v>
      </c>
      <c r="Z5" s="252">
        <v>44834</v>
      </c>
      <c r="AA5" s="112" t="s">
        <v>627</v>
      </c>
      <c r="AB5" s="274" t="s">
        <v>685</v>
      </c>
    </row>
    <row r="6" spans="1:33" s="104" customFormat="1" ht="15">
      <c r="A6" s="109">
        <f t="shared" si="3"/>
        <v>5</v>
      </c>
      <c r="B6" s="196" t="s">
        <v>1369</v>
      </c>
      <c r="C6" s="112" t="s">
        <v>313</v>
      </c>
      <c r="D6" s="368" t="s">
        <v>400</v>
      </c>
      <c r="E6" s="112" t="s">
        <v>403</v>
      </c>
      <c r="F6" s="414">
        <f t="shared" si="2"/>
        <v>1.6052631578947369</v>
      </c>
      <c r="G6" s="217" t="s">
        <v>14</v>
      </c>
      <c r="H6" s="217" t="s">
        <v>58</v>
      </c>
      <c r="I6" s="178" t="s">
        <v>397</v>
      </c>
      <c r="J6" s="110" t="s">
        <v>18</v>
      </c>
      <c r="K6" s="366"/>
      <c r="L6" s="114">
        <v>42614</v>
      </c>
      <c r="M6" s="112" t="s">
        <v>181</v>
      </c>
      <c r="N6" s="112"/>
      <c r="O6" s="112">
        <v>1000</v>
      </c>
      <c r="P6" s="112">
        <v>19</v>
      </c>
      <c r="Q6" s="117">
        <f>O6*P6</f>
        <v>19000</v>
      </c>
      <c r="R6" s="117">
        <v>42.5</v>
      </c>
      <c r="S6" s="227">
        <v>55</v>
      </c>
      <c r="T6" s="227">
        <v>389</v>
      </c>
      <c r="U6" s="227">
        <v>49500</v>
      </c>
      <c r="V6" s="369">
        <f>U6-Q6</f>
        <v>30500</v>
      </c>
      <c r="W6" s="192">
        <f t="shared" si="4"/>
        <v>1.6052631578947369</v>
      </c>
      <c r="X6" s="185"/>
      <c r="Y6" s="185"/>
      <c r="Z6" s="112"/>
      <c r="AA6" s="129" t="s">
        <v>905</v>
      </c>
      <c r="AB6" s="367"/>
      <c r="AC6" s="374" t="s">
        <v>1370</v>
      </c>
    </row>
    <row r="7" spans="1:33" s="104" customFormat="1" ht="15">
      <c r="A7" s="109">
        <f t="shared" si="3"/>
        <v>6</v>
      </c>
      <c r="B7" s="196" t="s">
        <v>16</v>
      </c>
      <c r="C7" s="112" t="s">
        <v>313</v>
      </c>
      <c r="D7" s="368" t="s">
        <v>399</v>
      </c>
      <c r="E7" s="112" t="s">
        <v>403</v>
      </c>
      <c r="F7" s="414">
        <f t="shared" si="2"/>
        <v>1.7260205555555552</v>
      </c>
      <c r="G7" s="217" t="s">
        <v>14</v>
      </c>
      <c r="H7" s="217" t="s">
        <v>59</v>
      </c>
      <c r="I7" s="178" t="s">
        <v>397</v>
      </c>
      <c r="J7" s="110" t="s">
        <v>17</v>
      </c>
      <c r="K7" s="366"/>
      <c r="L7" s="114">
        <v>42614</v>
      </c>
      <c r="M7" s="112" t="s">
        <v>181</v>
      </c>
      <c r="N7" s="112"/>
      <c r="O7" s="112">
        <v>1000</v>
      </c>
      <c r="P7" s="112">
        <v>18</v>
      </c>
      <c r="Q7" s="117">
        <f>O7*P7</f>
        <v>18000</v>
      </c>
      <c r="R7" s="117">
        <v>13.77</v>
      </c>
      <c r="S7" s="227">
        <v>42.41</v>
      </c>
      <c r="T7" s="227">
        <v>1157</v>
      </c>
      <c r="U7" s="227">
        <f>S7*T7</f>
        <v>49068.369999999995</v>
      </c>
      <c r="V7" s="369">
        <f>U7-Q7</f>
        <v>31068.369999999995</v>
      </c>
      <c r="W7" s="192">
        <f t="shared" si="4"/>
        <v>1.7260205555555552</v>
      </c>
      <c r="X7" s="185"/>
      <c r="Y7" s="185"/>
      <c r="Z7" s="112"/>
      <c r="AA7" s="109"/>
      <c r="AB7" s="189" t="s">
        <v>415</v>
      </c>
      <c r="AC7" s="374" t="s">
        <v>1370</v>
      </c>
      <c r="AD7" s="253" t="s">
        <v>628</v>
      </c>
    </row>
    <row r="8" spans="1:33" s="104" customFormat="1" ht="15">
      <c r="A8" s="109">
        <f t="shared" si="3"/>
        <v>7</v>
      </c>
      <c r="B8" s="196" t="s">
        <v>987</v>
      </c>
      <c r="C8" s="114">
        <v>44287</v>
      </c>
      <c r="D8" s="114" t="s">
        <v>136</v>
      </c>
      <c r="E8" s="112" t="s">
        <v>403</v>
      </c>
      <c r="F8" s="414">
        <f t="shared" si="2"/>
        <v>1.357461</v>
      </c>
      <c r="G8" s="217" t="s">
        <v>14</v>
      </c>
      <c r="H8" s="217" t="s">
        <v>59</v>
      </c>
      <c r="I8" s="112" t="s">
        <v>401</v>
      </c>
      <c r="J8" s="110">
        <v>61069494</v>
      </c>
      <c r="K8" s="366"/>
      <c r="L8" s="114">
        <v>43249</v>
      </c>
      <c r="M8" s="112" t="s">
        <v>396</v>
      </c>
      <c r="N8" s="112"/>
      <c r="O8" s="112" t="s">
        <v>313</v>
      </c>
      <c r="P8" s="112" t="s">
        <v>313</v>
      </c>
      <c r="Q8" s="117">
        <v>20000</v>
      </c>
      <c r="R8" s="117">
        <v>218</v>
      </c>
      <c r="S8" s="112">
        <v>514</v>
      </c>
      <c r="T8" s="227">
        <v>91.73</v>
      </c>
      <c r="U8" s="227">
        <f>S8*T8</f>
        <v>47149.22</v>
      </c>
      <c r="V8" s="369">
        <f>U8-Q8</f>
        <v>27149.22</v>
      </c>
      <c r="W8" s="192">
        <f t="shared" si="4"/>
        <v>1.357461</v>
      </c>
      <c r="X8" s="185"/>
      <c r="Y8" s="185"/>
      <c r="Z8" s="370" t="s">
        <v>407</v>
      </c>
      <c r="AA8" s="129" t="s">
        <v>408</v>
      </c>
      <c r="AB8" s="367" t="s">
        <v>409</v>
      </c>
      <c r="AC8" s="367"/>
    </row>
    <row r="9" spans="1:33" s="104" customFormat="1" ht="15">
      <c r="A9" s="109">
        <f t="shared" si="3"/>
        <v>8</v>
      </c>
      <c r="B9" s="196" t="s">
        <v>986</v>
      </c>
      <c r="C9" s="375" t="s">
        <v>313</v>
      </c>
      <c r="D9" s="114" t="s">
        <v>399</v>
      </c>
      <c r="E9" s="112" t="s">
        <v>403</v>
      </c>
      <c r="F9" s="414">
        <f t="shared" si="2"/>
        <v>1.4557142857142857</v>
      </c>
      <c r="G9" s="217" t="s">
        <v>183</v>
      </c>
      <c r="H9" s="217" t="s">
        <v>58</v>
      </c>
      <c r="I9" s="112" t="s">
        <v>401</v>
      </c>
      <c r="J9" s="110">
        <v>5334524</v>
      </c>
      <c r="K9" s="366"/>
      <c r="L9" s="114">
        <v>43291</v>
      </c>
      <c r="M9" s="112" t="s">
        <v>181</v>
      </c>
      <c r="N9" s="112"/>
      <c r="O9" s="112">
        <v>1000</v>
      </c>
      <c r="P9" s="112">
        <v>21</v>
      </c>
      <c r="Q9" s="117">
        <f>O9*P9</f>
        <v>21000</v>
      </c>
      <c r="R9" s="117">
        <v>35.5</v>
      </c>
      <c r="S9" s="112">
        <v>90</v>
      </c>
      <c r="T9" s="227">
        <v>573</v>
      </c>
      <c r="U9" s="227">
        <f>T9*S9</f>
        <v>51570</v>
      </c>
      <c r="V9" s="369"/>
      <c r="W9" s="192">
        <f t="shared" si="4"/>
        <v>1.4557142857142857</v>
      </c>
      <c r="X9" s="185"/>
      <c r="Y9" s="185"/>
      <c r="Z9" s="112"/>
      <c r="AA9" s="129" t="s">
        <v>838</v>
      </c>
      <c r="AB9" s="367"/>
      <c r="AC9" s="367" t="s">
        <v>1371</v>
      </c>
      <c r="AD9" s="238"/>
    </row>
    <row r="10" spans="1:33" ht="15">
      <c r="A10" s="109">
        <f t="shared" si="3"/>
        <v>9</v>
      </c>
      <c r="B10" s="196" t="s">
        <v>1007</v>
      </c>
      <c r="C10" s="114">
        <v>44598</v>
      </c>
      <c r="D10" s="422" t="s">
        <v>1446</v>
      </c>
      <c r="E10" s="112" t="s">
        <v>403</v>
      </c>
      <c r="F10" s="414">
        <f t="shared" si="2"/>
        <v>1</v>
      </c>
      <c r="G10" s="217" t="s">
        <v>183</v>
      </c>
      <c r="H10" s="376" t="s">
        <v>707</v>
      </c>
      <c r="I10" s="112" t="s">
        <v>401</v>
      </c>
      <c r="J10" s="377" t="s">
        <v>708</v>
      </c>
      <c r="K10" s="378" t="s">
        <v>979</v>
      </c>
      <c r="L10" s="114">
        <v>44233</v>
      </c>
      <c r="M10" s="379" t="s">
        <v>396</v>
      </c>
      <c r="N10" s="379"/>
      <c r="O10" s="112">
        <v>12500</v>
      </c>
      <c r="P10" s="380">
        <v>1</v>
      </c>
      <c r="Q10" s="117">
        <v>12500</v>
      </c>
      <c r="R10" s="117">
        <v>26.44</v>
      </c>
      <c r="S10" s="381"/>
      <c r="T10" s="117">
        <v>472.7</v>
      </c>
      <c r="U10" s="227">
        <v>25000</v>
      </c>
      <c r="V10" s="117"/>
      <c r="W10" s="192">
        <f t="shared" ref="W10" si="5">(U10-Q10)/Q10</f>
        <v>1</v>
      </c>
      <c r="X10" s="382"/>
      <c r="Y10" s="382"/>
      <c r="Z10" s="383"/>
      <c r="AA10" s="129"/>
      <c r="AB10" s="367" t="s">
        <v>1362</v>
      </c>
      <c r="AC10" s="367"/>
      <c r="AD10" s="238"/>
    </row>
    <row r="11" spans="1:33" s="104" customFormat="1" ht="15">
      <c r="A11" s="109">
        <f t="shared" si="3"/>
        <v>10</v>
      </c>
      <c r="B11" s="196" t="s">
        <v>505</v>
      </c>
      <c r="C11" s="114">
        <v>44266</v>
      </c>
      <c r="D11" s="112" t="s">
        <v>136</v>
      </c>
      <c r="E11" s="112" t="s">
        <v>403</v>
      </c>
      <c r="F11" s="414">
        <f t="shared" si="2"/>
        <v>0.57999999999999996</v>
      </c>
      <c r="G11" s="217" t="s">
        <v>183</v>
      </c>
      <c r="H11" s="217" t="s">
        <v>58</v>
      </c>
      <c r="I11" s="112" t="s">
        <v>401</v>
      </c>
      <c r="J11" s="217" t="s">
        <v>392</v>
      </c>
      <c r="K11" s="112"/>
      <c r="L11" s="112">
        <v>43906</v>
      </c>
      <c r="M11" s="112" t="s">
        <v>396</v>
      </c>
      <c r="N11" s="112"/>
      <c r="O11" s="112">
        <v>50000</v>
      </c>
      <c r="P11" s="112">
        <v>1</v>
      </c>
      <c r="Q11" s="112">
        <f>O11*P11</f>
        <v>50000</v>
      </c>
      <c r="R11" s="112">
        <v>30.23</v>
      </c>
      <c r="S11" s="112">
        <v>66.3</v>
      </c>
      <c r="T11" s="112">
        <v>1654</v>
      </c>
      <c r="U11" s="227">
        <f>T11*S11</f>
        <v>109660.2</v>
      </c>
      <c r="V11" s="112">
        <f>U11-Q11</f>
        <v>59660.2</v>
      </c>
      <c r="W11" s="192">
        <v>0.57999999999999996</v>
      </c>
      <c r="X11" s="112"/>
      <c r="Y11" s="112">
        <v>0.15</v>
      </c>
      <c r="Z11" s="112"/>
      <c r="AA11" s="112" t="s">
        <v>405</v>
      </c>
      <c r="AB11" s="367"/>
      <c r="AC11" s="367" t="s">
        <v>503</v>
      </c>
      <c r="AD11" s="238"/>
    </row>
    <row r="12" spans="1:33" s="104" customFormat="1" ht="15">
      <c r="A12" s="109">
        <f t="shared" si="3"/>
        <v>11</v>
      </c>
      <c r="B12" s="196" t="s">
        <v>11</v>
      </c>
      <c r="C12" s="112" t="s">
        <v>313</v>
      </c>
      <c r="D12" s="114" t="s">
        <v>136</v>
      </c>
      <c r="E12" s="112" t="s">
        <v>403</v>
      </c>
      <c r="F12" s="414">
        <f t="shared" si="2"/>
        <v>0.47187499999999999</v>
      </c>
      <c r="G12" s="217" t="s">
        <v>14</v>
      </c>
      <c r="H12" s="218" t="s">
        <v>59</v>
      </c>
      <c r="I12" s="112" t="s">
        <v>397</v>
      </c>
      <c r="J12" s="110">
        <v>19030264</v>
      </c>
      <c r="K12" s="110"/>
      <c r="L12" s="114">
        <v>42036</v>
      </c>
      <c r="M12" s="112" t="s">
        <v>181</v>
      </c>
      <c r="N12" s="112"/>
      <c r="O12" s="112">
        <v>4000</v>
      </c>
      <c r="P12" s="112">
        <v>24</v>
      </c>
      <c r="Q12" s="117">
        <f>O12*P12</f>
        <v>96000</v>
      </c>
      <c r="R12" s="117"/>
      <c r="S12" s="227"/>
      <c r="T12" s="227"/>
      <c r="U12" s="227">
        <v>141300</v>
      </c>
      <c r="V12" s="369">
        <f>U12-Q12</f>
        <v>45300</v>
      </c>
      <c r="W12" s="192">
        <f>(U12-Q12)/Q12</f>
        <v>0.47187499999999999</v>
      </c>
      <c r="X12" s="185"/>
      <c r="Y12" s="185"/>
      <c r="Z12" s="114">
        <v>43132</v>
      </c>
      <c r="AA12" s="109"/>
      <c r="AB12" s="109"/>
      <c r="AC12" s="371"/>
    </row>
    <row r="13" spans="1:33" s="104" customFormat="1" ht="15">
      <c r="A13" s="109">
        <f t="shared" si="3"/>
        <v>12</v>
      </c>
      <c r="B13" s="196" t="s">
        <v>13</v>
      </c>
      <c r="C13" s="112" t="s">
        <v>313</v>
      </c>
      <c r="D13" s="114" t="s">
        <v>136</v>
      </c>
      <c r="E13" s="112" t="s">
        <v>403</v>
      </c>
      <c r="F13" s="414">
        <f t="shared" si="2"/>
        <v>0.68</v>
      </c>
      <c r="G13" s="217" t="s">
        <v>14</v>
      </c>
      <c r="H13" s="217" t="s">
        <v>58</v>
      </c>
      <c r="I13" s="112" t="s">
        <v>397</v>
      </c>
      <c r="J13" s="109" t="s">
        <v>392</v>
      </c>
      <c r="K13" s="109"/>
      <c r="L13" s="114">
        <v>42384</v>
      </c>
      <c r="M13" s="112" t="s">
        <v>396</v>
      </c>
      <c r="N13" s="112"/>
      <c r="O13" s="109" t="s">
        <v>313</v>
      </c>
      <c r="P13" s="109" t="s">
        <v>313</v>
      </c>
      <c r="Q13" s="109">
        <v>60000</v>
      </c>
      <c r="R13" s="227">
        <v>29</v>
      </c>
      <c r="S13" s="227"/>
      <c r="T13" s="227">
        <v>2074.3000000000002</v>
      </c>
      <c r="U13" s="227">
        <v>100425</v>
      </c>
      <c r="V13" s="369">
        <f>U13-Q13</f>
        <v>40425</v>
      </c>
      <c r="W13" s="192">
        <v>0.68</v>
      </c>
      <c r="X13" s="185"/>
      <c r="Y13" s="185"/>
      <c r="Z13" s="128">
        <v>43831</v>
      </c>
      <c r="AA13" s="109" t="s">
        <v>405</v>
      </c>
      <c r="AB13" s="109"/>
      <c r="AC13" s="129"/>
    </row>
    <row r="14" spans="1:33" ht="15">
      <c r="A14" s="109">
        <f t="shared" si="3"/>
        <v>13</v>
      </c>
      <c r="B14" s="196" t="s">
        <v>771</v>
      </c>
      <c r="C14" s="114">
        <v>44713</v>
      </c>
      <c r="D14" s="422" t="s">
        <v>1446</v>
      </c>
      <c r="E14" s="112" t="s">
        <v>403</v>
      </c>
      <c r="F14" s="414">
        <f t="shared" si="2"/>
        <v>0.591225</v>
      </c>
      <c r="G14" s="217" t="s">
        <v>183</v>
      </c>
      <c r="H14" s="217" t="s">
        <v>58</v>
      </c>
      <c r="I14" s="112" t="s">
        <v>401</v>
      </c>
      <c r="J14" s="401" t="s">
        <v>714</v>
      </c>
      <c r="K14" s="402"/>
      <c r="L14" s="114">
        <v>44256</v>
      </c>
      <c r="M14" s="112" t="s">
        <v>181</v>
      </c>
      <c r="N14" s="403" t="s">
        <v>735</v>
      </c>
      <c r="O14" s="112">
        <v>20000</v>
      </c>
      <c r="P14" s="112">
        <v>4</v>
      </c>
      <c r="Q14" s="117">
        <f>O14*P14</f>
        <v>80000</v>
      </c>
      <c r="R14" s="117" t="s">
        <v>267</v>
      </c>
      <c r="S14" s="117">
        <v>68.62</v>
      </c>
      <c r="T14" s="117">
        <v>1838</v>
      </c>
      <c r="U14" s="404">
        <v>127298</v>
      </c>
      <c r="V14" s="405" t="s">
        <v>313</v>
      </c>
      <c r="W14" s="192">
        <f t="shared" ref="W14" si="6">(U14-Q14)/Q14</f>
        <v>0.591225</v>
      </c>
      <c r="X14" s="382"/>
      <c r="Y14" s="382"/>
      <c r="Z14" s="383" t="s">
        <v>267</v>
      </c>
      <c r="AA14" s="129" t="s">
        <v>718</v>
      </c>
      <c r="AB14" s="129" t="s">
        <v>1374</v>
      </c>
      <c r="AC14" s="400"/>
      <c r="AD14" s="400"/>
    </row>
    <row r="15" spans="1:33" ht="15">
      <c r="A15" s="109">
        <f t="shared" si="3"/>
        <v>14</v>
      </c>
      <c r="B15" s="196" t="s">
        <v>981</v>
      </c>
      <c r="C15" s="114">
        <v>44713</v>
      </c>
      <c r="D15" s="422" t="s">
        <v>1446</v>
      </c>
      <c r="E15" s="112" t="s">
        <v>403</v>
      </c>
      <c r="F15" s="414">
        <f t="shared" si="2"/>
        <v>0.67464999999999997</v>
      </c>
      <c r="G15" s="217" t="s">
        <v>183</v>
      </c>
      <c r="H15" s="406" t="s">
        <v>60</v>
      </c>
      <c r="I15" s="112" t="s">
        <v>401</v>
      </c>
      <c r="J15" s="110" t="s">
        <v>714</v>
      </c>
      <c r="K15" s="402"/>
      <c r="L15" s="114">
        <v>44260</v>
      </c>
      <c r="M15" s="112" t="s">
        <v>181</v>
      </c>
      <c r="N15" s="403" t="s">
        <v>736</v>
      </c>
      <c r="O15" s="112">
        <v>15000</v>
      </c>
      <c r="P15" s="112">
        <v>5</v>
      </c>
      <c r="Q15" s="117">
        <v>60000</v>
      </c>
      <c r="R15" s="117" t="s">
        <v>267</v>
      </c>
      <c r="S15" s="117">
        <v>28.47</v>
      </c>
      <c r="T15" s="117">
        <v>3495</v>
      </c>
      <c r="U15" s="404">
        <v>100479</v>
      </c>
      <c r="V15" s="405" t="s">
        <v>313</v>
      </c>
      <c r="W15" s="192">
        <f t="shared" ref="W15:W16" si="7">(U15-Q15)/Q15</f>
        <v>0.67464999999999997</v>
      </c>
      <c r="X15" s="382"/>
      <c r="Y15" s="382"/>
      <c r="Z15" s="383" t="s">
        <v>267</v>
      </c>
      <c r="AA15" s="407"/>
      <c r="AB15" s="129" t="s">
        <v>1375</v>
      </c>
      <c r="AC15" s="400" t="s">
        <v>726</v>
      </c>
      <c r="AD15" s="400"/>
      <c r="AF15" s="239"/>
      <c r="AG15" s="239"/>
    </row>
    <row r="16" spans="1:33" ht="15.75">
      <c r="A16" s="109">
        <f t="shared" si="3"/>
        <v>15</v>
      </c>
      <c r="B16" s="196" t="s">
        <v>980</v>
      </c>
      <c r="C16" s="114"/>
      <c r="D16" s="422" t="s">
        <v>1446</v>
      </c>
      <c r="E16" s="112" t="s">
        <v>403</v>
      </c>
      <c r="F16" s="414">
        <f t="shared" si="2"/>
        <v>1.22</v>
      </c>
      <c r="G16" s="217" t="s">
        <v>183</v>
      </c>
      <c r="H16" s="406" t="s">
        <v>60</v>
      </c>
      <c r="I16" s="112"/>
      <c r="J16" s="110" t="s">
        <v>714</v>
      </c>
      <c r="K16" s="402"/>
      <c r="L16" s="114"/>
      <c r="M16" s="112"/>
      <c r="N16" s="403"/>
      <c r="O16" s="112">
        <v>14600</v>
      </c>
      <c r="P16" s="112"/>
      <c r="Q16" s="117">
        <v>14600</v>
      </c>
      <c r="R16" s="117"/>
      <c r="S16" s="117">
        <v>129</v>
      </c>
      <c r="T16" s="117">
        <v>250</v>
      </c>
      <c r="U16" s="404">
        <v>32412</v>
      </c>
      <c r="V16" s="405"/>
      <c r="W16" s="192">
        <f t="shared" si="7"/>
        <v>1.22</v>
      </c>
      <c r="X16" s="382"/>
      <c r="Y16" s="382"/>
      <c r="Z16" s="383"/>
      <c r="AA16" s="408"/>
      <c r="AB16" s="129" t="s">
        <v>1376</v>
      </c>
      <c r="AC16" s="400"/>
      <c r="AD16" s="400"/>
      <c r="AF16" s="269"/>
      <c r="AG16" s="269"/>
    </row>
    <row r="17" spans="1:30" ht="15.75">
      <c r="A17" s="109">
        <f t="shared" si="3"/>
        <v>16</v>
      </c>
      <c r="B17" s="196" t="s">
        <v>675</v>
      </c>
      <c r="C17" s="114">
        <v>44936</v>
      </c>
      <c r="D17" s="422" t="s">
        <v>1446</v>
      </c>
      <c r="E17" s="112" t="s">
        <v>403</v>
      </c>
      <c r="F17" s="414">
        <f t="shared" si="2"/>
        <v>0.79435</v>
      </c>
      <c r="G17" s="217" t="s">
        <v>183</v>
      </c>
      <c r="H17" s="406" t="s">
        <v>60</v>
      </c>
      <c r="I17" s="112" t="s">
        <v>401</v>
      </c>
      <c r="J17" s="401" t="s">
        <v>715</v>
      </c>
      <c r="K17" s="402"/>
      <c r="L17" s="114">
        <v>44237</v>
      </c>
      <c r="M17" s="112" t="s">
        <v>181</v>
      </c>
      <c r="N17" s="403" t="s">
        <v>570</v>
      </c>
      <c r="O17" s="112">
        <v>10000</v>
      </c>
      <c r="P17" s="112">
        <v>12</v>
      </c>
      <c r="Q17" s="117">
        <v>120000</v>
      </c>
      <c r="R17" s="117" t="s">
        <v>267</v>
      </c>
      <c r="S17" s="117"/>
      <c r="T17" s="117">
        <v>2921</v>
      </c>
      <c r="U17" s="404">
        <v>215322</v>
      </c>
      <c r="V17" s="405" t="s">
        <v>313</v>
      </c>
      <c r="W17" s="192">
        <f>(U17-Q17)/Q17</f>
        <v>0.79435</v>
      </c>
      <c r="X17" s="382"/>
      <c r="Y17" s="408"/>
      <c r="Z17" s="383" t="s">
        <v>267</v>
      </c>
      <c r="AA17" s="129" t="s">
        <v>748</v>
      </c>
      <c r="AB17" s="129" t="s">
        <v>1380</v>
      </c>
      <c r="AC17" s="400"/>
      <c r="AD17" s="400" t="s">
        <v>755</v>
      </c>
    </row>
    <row r="18" spans="1:30" s="104" customFormat="1" ht="15">
      <c r="A18" s="109">
        <f t="shared" si="3"/>
        <v>17</v>
      </c>
      <c r="B18" s="109" t="s">
        <v>5</v>
      </c>
      <c r="C18" s="112" t="s">
        <v>313</v>
      </c>
      <c r="D18" s="422" t="s">
        <v>1446</v>
      </c>
      <c r="E18" s="112" t="s">
        <v>403</v>
      </c>
      <c r="F18" s="413">
        <f t="shared" si="2"/>
        <v>0.14615384615384616</v>
      </c>
      <c r="G18" s="217" t="s">
        <v>14</v>
      </c>
      <c r="H18" s="217" t="s">
        <v>58</v>
      </c>
      <c r="I18" s="112" t="s">
        <v>397</v>
      </c>
      <c r="J18" s="110" t="s">
        <v>6</v>
      </c>
      <c r="K18" s="110"/>
      <c r="L18" s="114">
        <v>40725</v>
      </c>
      <c r="M18" s="112" t="s">
        <v>181</v>
      </c>
      <c r="N18" s="112"/>
      <c r="O18" s="112"/>
      <c r="P18" s="112"/>
      <c r="Q18" s="117">
        <v>65000</v>
      </c>
      <c r="R18" s="117"/>
      <c r="S18" s="227"/>
      <c r="T18" s="227"/>
      <c r="U18" s="227">
        <v>74500</v>
      </c>
      <c r="V18" s="369">
        <f t="shared" si="0"/>
        <v>9500</v>
      </c>
      <c r="W18" s="194">
        <f t="shared" si="1"/>
        <v>0.14615384615384616</v>
      </c>
      <c r="X18" s="185"/>
      <c r="Y18" s="185"/>
      <c r="Z18" s="114">
        <v>42248</v>
      </c>
      <c r="AA18" s="229"/>
      <c r="AB18" s="229" t="s">
        <v>743</v>
      </c>
      <c r="AC18" s="109"/>
    </row>
    <row r="19" spans="1:30" s="104" customFormat="1" ht="15">
      <c r="A19" s="109">
        <f t="shared" si="3"/>
        <v>18</v>
      </c>
      <c r="B19" s="183" t="s">
        <v>9</v>
      </c>
      <c r="C19" s="112" t="s">
        <v>313</v>
      </c>
      <c r="D19" s="114" t="s">
        <v>136</v>
      </c>
      <c r="E19" s="112" t="s">
        <v>403</v>
      </c>
      <c r="F19" s="434">
        <f t="shared" si="2"/>
        <v>0.25</v>
      </c>
      <c r="G19" s="217" t="s">
        <v>14</v>
      </c>
      <c r="H19" s="217" t="s">
        <v>58</v>
      </c>
      <c r="I19" s="112" t="s">
        <v>397</v>
      </c>
      <c r="J19" s="245" t="s">
        <v>10</v>
      </c>
      <c r="K19" s="245"/>
      <c r="L19" s="114">
        <v>42036</v>
      </c>
      <c r="M19" s="112" t="s">
        <v>181</v>
      </c>
      <c r="N19" s="112"/>
      <c r="O19" s="112">
        <v>2000</v>
      </c>
      <c r="P19" s="112">
        <v>24</v>
      </c>
      <c r="Q19" s="117">
        <f>O19*P19</f>
        <v>48000</v>
      </c>
      <c r="R19" s="117"/>
      <c r="S19" s="227"/>
      <c r="T19" s="227"/>
      <c r="U19" s="227">
        <v>60000</v>
      </c>
      <c r="V19" s="369">
        <f t="shared" si="0"/>
        <v>12000</v>
      </c>
      <c r="W19" s="193">
        <f t="shared" si="1"/>
        <v>0.25</v>
      </c>
      <c r="X19" s="185"/>
      <c r="Y19" s="185"/>
      <c r="Z19" s="114">
        <v>43132</v>
      </c>
      <c r="AA19" s="229" t="s">
        <v>744</v>
      </c>
      <c r="AB19" s="229" t="s">
        <v>743</v>
      </c>
      <c r="AC19" s="109"/>
    </row>
    <row r="20" spans="1:30" s="104" customFormat="1" ht="15">
      <c r="A20" s="109">
        <f t="shared" si="3"/>
        <v>19</v>
      </c>
      <c r="B20" s="109" t="s">
        <v>15</v>
      </c>
      <c r="C20" s="112" t="s">
        <v>313</v>
      </c>
      <c r="D20" s="114" t="s">
        <v>136</v>
      </c>
      <c r="E20" s="276" t="s">
        <v>403</v>
      </c>
      <c r="F20" s="413">
        <f t="shared" si="2"/>
        <v>0</v>
      </c>
      <c r="G20" s="217" t="s">
        <v>14</v>
      </c>
      <c r="H20" s="217" t="s">
        <v>60</v>
      </c>
      <c r="I20" s="112" t="s">
        <v>397</v>
      </c>
      <c r="J20" s="110">
        <v>1017714175</v>
      </c>
      <c r="K20" s="110"/>
      <c r="L20" s="114">
        <v>42531</v>
      </c>
      <c r="M20" s="112" t="s">
        <v>181</v>
      </c>
      <c r="N20" s="112"/>
      <c r="O20" s="112">
        <v>10000</v>
      </c>
      <c r="P20" s="112">
        <v>10</v>
      </c>
      <c r="Q20" s="117">
        <f>O20*P20</f>
        <v>100000</v>
      </c>
      <c r="R20" s="117">
        <v>22</v>
      </c>
      <c r="S20" s="227"/>
      <c r="T20" s="227">
        <v>4269</v>
      </c>
      <c r="U20" s="227">
        <v>138400</v>
      </c>
      <c r="V20" s="369">
        <f t="shared" si="0"/>
        <v>38400</v>
      </c>
      <c r="W20" s="185"/>
      <c r="X20" s="185"/>
      <c r="Y20" s="185"/>
      <c r="Z20" s="178" t="s">
        <v>427</v>
      </c>
      <c r="AA20" s="129" t="s">
        <v>426</v>
      </c>
      <c r="AB20" s="179" t="s">
        <v>629</v>
      </c>
      <c r="AC20" s="371"/>
    </row>
    <row r="21" spans="1:30" s="104" customFormat="1" ht="15">
      <c r="A21" s="109">
        <f t="shared" si="3"/>
        <v>20</v>
      </c>
      <c r="B21" s="197" t="s">
        <v>54</v>
      </c>
      <c r="C21" s="112" t="s">
        <v>313</v>
      </c>
      <c r="D21" s="114" t="s">
        <v>136</v>
      </c>
      <c r="E21" s="112" t="s">
        <v>403</v>
      </c>
      <c r="F21" s="413">
        <f t="shared" si="2"/>
        <v>0.17130000000000001</v>
      </c>
      <c r="G21" s="217" t="s">
        <v>14</v>
      </c>
      <c r="H21" s="217" t="s">
        <v>59</v>
      </c>
      <c r="I21" s="112" t="s">
        <v>401</v>
      </c>
      <c r="J21" s="110">
        <v>1000083715</v>
      </c>
      <c r="K21" s="110"/>
      <c r="L21" s="114">
        <v>43101</v>
      </c>
      <c r="M21" s="112" t="s">
        <v>396</v>
      </c>
      <c r="N21" s="112"/>
      <c r="O21" s="112" t="s">
        <v>313</v>
      </c>
      <c r="P21" s="112" t="s">
        <v>313</v>
      </c>
      <c r="Q21" s="117">
        <v>40000</v>
      </c>
      <c r="R21" s="117">
        <v>12.9</v>
      </c>
      <c r="S21" s="227">
        <v>12.75</v>
      </c>
      <c r="T21" s="227">
        <v>3100</v>
      </c>
      <c r="U21" s="227">
        <v>46852</v>
      </c>
      <c r="V21" s="369">
        <f t="shared" si="0"/>
        <v>6852</v>
      </c>
      <c r="W21" s="194">
        <f t="shared" ref="W21:W27" si="8">(U21-Q21)/Q21</f>
        <v>0.17130000000000001</v>
      </c>
      <c r="X21" s="185"/>
      <c r="Y21" s="185"/>
      <c r="Z21" s="225" t="s">
        <v>721</v>
      </c>
      <c r="AA21" s="129" t="s">
        <v>406</v>
      </c>
      <c r="AB21" s="109"/>
      <c r="AC21" s="372" t="s">
        <v>677</v>
      </c>
    </row>
    <row r="22" spans="1:30" s="104" customFormat="1" ht="15">
      <c r="A22" s="109">
        <f t="shared" si="3"/>
        <v>21</v>
      </c>
      <c r="B22" s="197" t="s">
        <v>55</v>
      </c>
      <c r="C22" s="112" t="s">
        <v>313</v>
      </c>
      <c r="D22" s="114" t="s">
        <v>136</v>
      </c>
      <c r="E22" s="112" t="s">
        <v>403</v>
      </c>
      <c r="F22" s="413">
        <f t="shared" si="2"/>
        <v>0.17727999999999999</v>
      </c>
      <c r="G22" s="217" t="s">
        <v>14</v>
      </c>
      <c r="H22" s="217" t="s">
        <v>59</v>
      </c>
      <c r="I22" s="112" t="s">
        <v>401</v>
      </c>
      <c r="J22" s="110" t="s">
        <v>56</v>
      </c>
      <c r="K22" s="110"/>
      <c r="L22" s="114">
        <v>43101</v>
      </c>
      <c r="M22" s="112" t="s">
        <v>396</v>
      </c>
      <c r="N22" s="112"/>
      <c r="O22" s="112" t="s">
        <v>313</v>
      </c>
      <c r="P22" s="112" t="s">
        <v>313</v>
      </c>
      <c r="Q22" s="117">
        <v>50000</v>
      </c>
      <c r="R22" s="117">
        <v>62.5</v>
      </c>
      <c r="S22" s="227">
        <v>60</v>
      </c>
      <c r="T22" s="227">
        <v>797.45</v>
      </c>
      <c r="U22" s="227">
        <v>58864</v>
      </c>
      <c r="V22" s="369">
        <f t="shared" si="0"/>
        <v>8864</v>
      </c>
      <c r="W22" s="194">
        <f t="shared" si="8"/>
        <v>0.17727999999999999</v>
      </c>
      <c r="X22" s="185"/>
      <c r="Y22" s="185"/>
      <c r="Z22" s="224" t="s">
        <v>721</v>
      </c>
      <c r="AA22" s="129" t="s">
        <v>408</v>
      </c>
      <c r="AB22" s="109"/>
      <c r="AC22" s="372" t="s">
        <v>679</v>
      </c>
    </row>
    <row r="23" spans="1:30" s="104" customFormat="1" ht="15">
      <c r="A23" s="109">
        <f t="shared" si="3"/>
        <v>22</v>
      </c>
      <c r="B23" s="198" t="s">
        <v>412</v>
      </c>
      <c r="C23" s="112" t="s">
        <v>313</v>
      </c>
      <c r="D23" s="114" t="s">
        <v>136</v>
      </c>
      <c r="E23" s="112" t="s">
        <v>403</v>
      </c>
      <c r="F23" s="413">
        <f t="shared" si="2"/>
        <v>0.18365333333333334</v>
      </c>
      <c r="G23" s="217" t="s">
        <v>183</v>
      </c>
      <c r="H23" s="217" t="s">
        <v>58</v>
      </c>
      <c r="I23" s="112" t="s">
        <v>401</v>
      </c>
      <c r="J23" s="187" t="s">
        <v>268</v>
      </c>
      <c r="K23" s="187"/>
      <c r="L23" s="114">
        <v>43313</v>
      </c>
      <c r="M23" s="112" t="s">
        <v>181</v>
      </c>
      <c r="N23" s="112"/>
      <c r="O23" s="112">
        <v>15000</v>
      </c>
      <c r="P23" s="112">
        <v>15</v>
      </c>
      <c r="Q23" s="117">
        <f t="shared" ref="Q23:Q30" si="9">O23*P23</f>
        <v>225000</v>
      </c>
      <c r="R23" s="117">
        <v>36.450000000000003</v>
      </c>
      <c r="S23" s="227">
        <v>38.270000000000003</v>
      </c>
      <c r="T23" s="227">
        <v>6376</v>
      </c>
      <c r="U23" s="227">
        <v>266322</v>
      </c>
      <c r="V23" s="369">
        <f t="shared" si="0"/>
        <v>41322</v>
      </c>
      <c r="W23" s="194">
        <f t="shared" si="8"/>
        <v>0.18365333333333334</v>
      </c>
      <c r="X23" s="185"/>
      <c r="Y23" s="185"/>
      <c r="Z23" s="112"/>
      <c r="AA23" s="129" t="s">
        <v>413</v>
      </c>
      <c r="AB23" s="188" t="s">
        <v>685</v>
      </c>
      <c r="AC23" s="372" t="s">
        <v>680</v>
      </c>
    </row>
    <row r="24" spans="1:30" s="104" customFormat="1" ht="15">
      <c r="A24" s="109">
        <f t="shared" si="3"/>
        <v>23</v>
      </c>
      <c r="B24" s="189" t="s">
        <v>411</v>
      </c>
      <c r="C24" s="112" t="s">
        <v>313</v>
      </c>
      <c r="D24" s="114" t="s">
        <v>136</v>
      </c>
      <c r="E24" s="112" t="s">
        <v>403</v>
      </c>
      <c r="F24" s="413">
        <f t="shared" si="2"/>
        <v>2.7900000000000001E-2</v>
      </c>
      <c r="G24" s="217" t="s">
        <v>183</v>
      </c>
      <c r="H24" s="217" t="s">
        <v>58</v>
      </c>
      <c r="I24" s="112" t="s">
        <v>397</v>
      </c>
      <c r="J24" s="187" t="s">
        <v>268</v>
      </c>
      <c r="K24" s="187"/>
      <c r="L24" s="114">
        <v>43322</v>
      </c>
      <c r="M24" s="190" t="s">
        <v>181</v>
      </c>
      <c r="N24" s="190"/>
      <c r="O24" s="112">
        <v>15000</v>
      </c>
      <c r="P24" s="112">
        <v>2</v>
      </c>
      <c r="Q24" s="117">
        <f t="shared" si="9"/>
        <v>30000</v>
      </c>
      <c r="R24" s="117">
        <v>33.75</v>
      </c>
      <c r="S24" s="227">
        <v>35.159999999999997</v>
      </c>
      <c r="T24" s="227">
        <v>877</v>
      </c>
      <c r="U24" s="227">
        <v>30837</v>
      </c>
      <c r="V24" s="369">
        <f t="shared" si="0"/>
        <v>837</v>
      </c>
      <c r="W24" s="185">
        <f t="shared" si="8"/>
        <v>2.7900000000000001E-2</v>
      </c>
      <c r="X24" s="185"/>
      <c r="Y24" s="185"/>
      <c r="Z24" s="224" t="s">
        <v>721</v>
      </c>
      <c r="AA24" s="129" t="s">
        <v>413</v>
      </c>
      <c r="AB24" s="191"/>
      <c r="AC24" s="129"/>
    </row>
    <row r="25" spans="1:30" s="104" customFormat="1" ht="15">
      <c r="A25" s="109">
        <f t="shared" si="3"/>
        <v>24</v>
      </c>
      <c r="B25" s="183" t="s">
        <v>271</v>
      </c>
      <c r="C25" s="112" t="s">
        <v>313</v>
      </c>
      <c r="D25" s="114" t="s">
        <v>136</v>
      </c>
      <c r="E25" s="112" t="s">
        <v>403</v>
      </c>
      <c r="F25" s="413">
        <f t="shared" si="2"/>
        <v>0.32964930555555555</v>
      </c>
      <c r="G25" s="217" t="s">
        <v>183</v>
      </c>
      <c r="H25" s="219" t="s">
        <v>59</v>
      </c>
      <c r="I25" s="112" t="s">
        <v>401</v>
      </c>
      <c r="J25" s="187" t="s">
        <v>268</v>
      </c>
      <c r="K25" s="187"/>
      <c r="L25" s="114">
        <v>43313</v>
      </c>
      <c r="M25" s="112" t="s">
        <v>181</v>
      </c>
      <c r="N25" s="112"/>
      <c r="O25" s="112">
        <v>18000</v>
      </c>
      <c r="P25" s="112">
        <v>16</v>
      </c>
      <c r="Q25" s="117">
        <f t="shared" si="9"/>
        <v>288000</v>
      </c>
      <c r="R25" s="117">
        <v>45.4</v>
      </c>
      <c r="S25" s="227">
        <v>42.2</v>
      </c>
      <c r="T25" s="227">
        <v>6969</v>
      </c>
      <c r="U25" s="227">
        <v>382939</v>
      </c>
      <c r="V25" s="369">
        <f t="shared" si="0"/>
        <v>94939</v>
      </c>
      <c r="W25" s="193">
        <f t="shared" si="8"/>
        <v>0.32964930555555555</v>
      </c>
      <c r="X25" s="185"/>
      <c r="Y25" s="185"/>
      <c r="Z25" s="112"/>
      <c r="AA25" s="129" t="s">
        <v>413</v>
      </c>
      <c r="AB25" s="188" t="s">
        <v>685</v>
      </c>
      <c r="AC25" s="372" t="s">
        <v>683</v>
      </c>
    </row>
    <row r="26" spans="1:30" s="104" customFormat="1" ht="15">
      <c r="A26" s="109">
        <f t="shared" si="3"/>
        <v>25</v>
      </c>
      <c r="B26" s="195" t="s">
        <v>265</v>
      </c>
      <c r="C26" s="112" t="s">
        <v>313</v>
      </c>
      <c r="D26" s="114" t="s">
        <v>136</v>
      </c>
      <c r="E26" s="112" t="s">
        <v>403</v>
      </c>
      <c r="F26" s="413">
        <f t="shared" si="2"/>
        <v>0.38711250000000003</v>
      </c>
      <c r="G26" s="217" t="s">
        <v>183</v>
      </c>
      <c r="H26" s="219" t="s">
        <v>60</v>
      </c>
      <c r="I26" s="112" t="s">
        <v>401</v>
      </c>
      <c r="J26" s="110">
        <v>19914138621</v>
      </c>
      <c r="K26" s="110"/>
      <c r="L26" s="114">
        <v>43318</v>
      </c>
      <c r="M26" s="112" t="s">
        <v>181</v>
      </c>
      <c r="N26" s="112"/>
      <c r="O26" s="112">
        <v>15000</v>
      </c>
      <c r="P26" s="112">
        <v>16</v>
      </c>
      <c r="Q26" s="117">
        <f t="shared" si="9"/>
        <v>240000</v>
      </c>
      <c r="R26" s="117">
        <v>102.7</v>
      </c>
      <c r="S26" s="227">
        <v>104.6</v>
      </c>
      <c r="T26" s="227">
        <v>2496</v>
      </c>
      <c r="U26" s="227">
        <v>332907</v>
      </c>
      <c r="V26" s="369">
        <f t="shared" si="0"/>
        <v>92907</v>
      </c>
      <c r="W26" s="193">
        <f t="shared" si="8"/>
        <v>0.38711250000000003</v>
      </c>
      <c r="X26" s="185"/>
      <c r="Y26" s="185"/>
      <c r="Z26" s="224" t="s">
        <v>721</v>
      </c>
      <c r="AA26" s="129" t="s">
        <v>501</v>
      </c>
      <c r="AB26" s="109"/>
      <c r="AC26" s="372" t="s">
        <v>682</v>
      </c>
    </row>
    <row r="27" spans="1:30" s="104" customFormat="1" ht="15">
      <c r="A27" s="109">
        <f t="shared" si="3"/>
        <v>26</v>
      </c>
      <c r="B27" s="197" t="s">
        <v>270</v>
      </c>
      <c r="C27" s="112" t="s">
        <v>313</v>
      </c>
      <c r="D27" s="114" t="s">
        <v>136</v>
      </c>
      <c r="E27" s="112" t="s">
        <v>403</v>
      </c>
      <c r="F27" s="413">
        <f t="shared" si="2"/>
        <v>0.17010222222222221</v>
      </c>
      <c r="G27" s="217" t="s">
        <v>183</v>
      </c>
      <c r="H27" s="217" t="s">
        <v>58</v>
      </c>
      <c r="I27" s="112" t="s">
        <v>401</v>
      </c>
      <c r="J27" s="110">
        <v>7889578</v>
      </c>
      <c r="K27" s="110"/>
      <c r="L27" s="114">
        <v>43364</v>
      </c>
      <c r="M27" s="112" t="s">
        <v>181</v>
      </c>
      <c r="N27" s="112"/>
      <c r="O27" s="112">
        <v>15000</v>
      </c>
      <c r="P27" s="112">
        <v>15</v>
      </c>
      <c r="Q27" s="117">
        <f t="shared" si="9"/>
        <v>225000</v>
      </c>
      <c r="R27" s="117">
        <v>46.3</v>
      </c>
      <c r="S27" s="227">
        <v>43.8</v>
      </c>
      <c r="T27" s="227">
        <v>5138</v>
      </c>
      <c r="U27" s="227">
        <v>263273</v>
      </c>
      <c r="V27" s="369">
        <f t="shared" si="0"/>
        <v>38273</v>
      </c>
      <c r="W27" s="194">
        <f t="shared" si="8"/>
        <v>0.17010222222222221</v>
      </c>
      <c r="X27" s="194"/>
      <c r="Y27" s="194"/>
      <c r="Z27" s="112"/>
      <c r="AA27" s="129" t="s">
        <v>414</v>
      </c>
      <c r="AB27" s="109"/>
      <c r="AC27" s="372" t="s">
        <v>681</v>
      </c>
    </row>
    <row r="28" spans="1:30" s="104" customFormat="1" ht="15">
      <c r="A28" s="109">
        <f t="shared" si="3"/>
        <v>27</v>
      </c>
      <c r="B28" s="195" t="s">
        <v>185</v>
      </c>
      <c r="C28" s="112" t="s">
        <v>313</v>
      </c>
      <c r="D28" s="112" t="s">
        <v>400</v>
      </c>
      <c r="E28" s="112" t="s">
        <v>403</v>
      </c>
      <c r="F28" s="413">
        <f t="shared" si="2"/>
        <v>0.185</v>
      </c>
      <c r="G28" s="109" t="s">
        <v>183</v>
      </c>
      <c r="H28" s="109" t="s">
        <v>58</v>
      </c>
      <c r="I28" s="112" t="s">
        <v>401</v>
      </c>
      <c r="J28" s="217">
        <v>20488223</v>
      </c>
      <c r="K28" s="217"/>
      <c r="L28" s="114">
        <v>43299</v>
      </c>
      <c r="M28" s="112" t="s">
        <v>181</v>
      </c>
      <c r="N28" s="112"/>
      <c r="O28" s="112">
        <v>1000</v>
      </c>
      <c r="P28" s="112">
        <v>21</v>
      </c>
      <c r="Q28" s="109">
        <f t="shared" si="9"/>
        <v>21000</v>
      </c>
      <c r="R28" s="227">
        <v>39.799999999999997</v>
      </c>
      <c r="S28" s="227"/>
      <c r="T28" s="227"/>
      <c r="U28" s="227">
        <v>360496</v>
      </c>
      <c r="V28" s="369"/>
      <c r="W28" s="193">
        <v>0.185</v>
      </c>
      <c r="X28" s="109" t="s">
        <v>313</v>
      </c>
      <c r="Y28" s="193">
        <v>0.185</v>
      </c>
      <c r="Z28" s="109"/>
      <c r="AA28" s="109" t="s">
        <v>184</v>
      </c>
      <c r="AB28" s="109" t="s">
        <v>410</v>
      </c>
      <c r="AC28" s="109"/>
    </row>
    <row r="29" spans="1:30" s="104" customFormat="1" ht="15">
      <c r="A29" s="109">
        <f t="shared" si="3"/>
        <v>28</v>
      </c>
      <c r="B29" s="195" t="s">
        <v>185</v>
      </c>
      <c r="C29" s="112" t="s">
        <v>313</v>
      </c>
      <c r="D29" s="112" t="s">
        <v>136</v>
      </c>
      <c r="E29" s="112" t="s">
        <v>403</v>
      </c>
      <c r="F29" s="413">
        <f t="shared" si="2"/>
        <v>0.185</v>
      </c>
      <c r="G29" s="109" t="s">
        <v>183</v>
      </c>
      <c r="H29" s="109" t="s">
        <v>58</v>
      </c>
      <c r="I29" s="112" t="s">
        <v>401</v>
      </c>
      <c r="J29" s="217">
        <v>20488223</v>
      </c>
      <c r="K29" s="217"/>
      <c r="L29" s="114">
        <v>43353</v>
      </c>
      <c r="M29" s="112" t="s">
        <v>181</v>
      </c>
      <c r="N29" s="112"/>
      <c r="O29" s="112">
        <v>15000</v>
      </c>
      <c r="P29" s="112">
        <v>16</v>
      </c>
      <c r="Q29" s="109">
        <f t="shared" si="9"/>
        <v>240000</v>
      </c>
      <c r="R29" s="227">
        <v>41</v>
      </c>
      <c r="S29" s="227">
        <v>56</v>
      </c>
      <c r="T29" s="227">
        <v>6479</v>
      </c>
      <c r="U29" s="227"/>
      <c r="V29" s="369">
        <f>U28-(Q29+Q28)</f>
        <v>99496</v>
      </c>
      <c r="W29" s="193">
        <v>0.185</v>
      </c>
      <c r="X29" s="109" t="s">
        <v>313</v>
      </c>
      <c r="Y29" s="193">
        <v>0.185</v>
      </c>
      <c r="Z29" s="109"/>
      <c r="AA29" s="109" t="s">
        <v>184</v>
      </c>
      <c r="AB29" s="109" t="s">
        <v>729</v>
      </c>
      <c r="AC29" s="109"/>
    </row>
    <row r="30" spans="1:30" s="104" customFormat="1" ht="15">
      <c r="A30" s="109">
        <f t="shared" si="3"/>
        <v>29</v>
      </c>
      <c r="B30" s="183" t="s">
        <v>269</v>
      </c>
      <c r="C30" s="112" t="s">
        <v>313</v>
      </c>
      <c r="D30" s="112" t="s">
        <v>136</v>
      </c>
      <c r="E30" s="112" t="s">
        <v>403</v>
      </c>
      <c r="F30" s="413">
        <f t="shared" si="2"/>
        <v>0.31</v>
      </c>
      <c r="G30" s="109" t="s">
        <v>183</v>
      </c>
      <c r="H30" s="109" t="s">
        <v>58</v>
      </c>
      <c r="I30" s="112" t="s">
        <v>401</v>
      </c>
      <c r="J30" s="217">
        <v>2108022731</v>
      </c>
      <c r="K30" s="217"/>
      <c r="L30" s="114">
        <v>43344</v>
      </c>
      <c r="M30" s="112" t="s">
        <v>181</v>
      </c>
      <c r="N30" s="112"/>
      <c r="O30" s="112">
        <v>20000</v>
      </c>
      <c r="P30" s="112">
        <v>14</v>
      </c>
      <c r="Q30" s="109">
        <f t="shared" si="9"/>
        <v>280000</v>
      </c>
      <c r="R30" s="227">
        <v>36.22</v>
      </c>
      <c r="S30" s="227">
        <v>49</v>
      </c>
      <c r="T30" s="227">
        <v>7637</v>
      </c>
      <c r="U30" s="227">
        <v>373342</v>
      </c>
      <c r="V30" s="369">
        <f>U30-Q30</f>
        <v>93342</v>
      </c>
      <c r="W30" s="193">
        <v>0.31</v>
      </c>
      <c r="X30" s="109"/>
      <c r="Y30" s="109"/>
      <c r="Z30" s="109" t="s">
        <v>684</v>
      </c>
      <c r="AA30" s="109" t="s">
        <v>727</v>
      </c>
      <c r="AB30" s="109" t="s">
        <v>703</v>
      </c>
      <c r="AC30" s="373" t="s">
        <v>728</v>
      </c>
    </row>
    <row r="31" spans="1:30" ht="15">
      <c r="A31" s="109">
        <f t="shared" si="3"/>
        <v>30</v>
      </c>
      <c r="B31" s="400" t="s">
        <v>674</v>
      </c>
      <c r="C31" s="114">
        <v>11364</v>
      </c>
      <c r="D31" s="422" t="s">
        <v>1446</v>
      </c>
      <c r="E31" s="112" t="s">
        <v>403</v>
      </c>
      <c r="F31" s="413" t="e">
        <f t="shared" si="2"/>
        <v>#VALUE!</v>
      </c>
      <c r="G31" s="217" t="s">
        <v>183</v>
      </c>
      <c r="H31" s="409" t="s">
        <v>705</v>
      </c>
      <c r="I31" s="112" t="s">
        <v>401</v>
      </c>
      <c r="J31" s="410" t="s">
        <v>1377</v>
      </c>
      <c r="K31" s="402"/>
      <c r="L31" s="114">
        <v>44265</v>
      </c>
      <c r="M31" s="112" t="s">
        <v>181</v>
      </c>
      <c r="N31" s="411" t="s">
        <v>570</v>
      </c>
      <c r="O31" s="112">
        <v>2500</v>
      </c>
      <c r="P31" s="112">
        <v>120</v>
      </c>
      <c r="Q31" s="404" t="s">
        <v>267</v>
      </c>
      <c r="R31" s="117" t="s">
        <v>267</v>
      </c>
      <c r="S31" s="412" t="s">
        <v>313</v>
      </c>
      <c r="T31" s="405" t="s">
        <v>313</v>
      </c>
      <c r="U31" s="404">
        <v>97678</v>
      </c>
      <c r="V31" s="405" t="s">
        <v>313</v>
      </c>
      <c r="W31" s="185" t="e">
        <f t="shared" ref="W31" si="10">(U31-Q31)/Q31</f>
        <v>#VALUE!</v>
      </c>
      <c r="X31" s="382"/>
      <c r="Y31" s="382"/>
      <c r="Z31" s="383" t="s">
        <v>267</v>
      </c>
      <c r="AA31" s="129" t="s">
        <v>1008</v>
      </c>
      <c r="AB31" s="129" t="s">
        <v>1378</v>
      </c>
      <c r="AC31" s="400" t="s">
        <v>1009</v>
      </c>
      <c r="AD31" s="400" t="s">
        <v>756</v>
      </c>
    </row>
    <row r="32" spans="1:30" s="104" customFormat="1" ht="15">
      <c r="A32" s="109">
        <f t="shared" si="3"/>
        <v>31</v>
      </c>
      <c r="B32" s="433" t="s">
        <v>504</v>
      </c>
      <c r="C32" s="114">
        <v>44266</v>
      </c>
      <c r="D32" s="114" t="s">
        <v>136</v>
      </c>
      <c r="E32" s="112" t="s">
        <v>403</v>
      </c>
      <c r="F32" s="414">
        <f>W32</f>
        <v>1.83</v>
      </c>
      <c r="G32" s="217" t="s">
        <v>183</v>
      </c>
      <c r="H32" s="217" t="s">
        <v>58</v>
      </c>
      <c r="I32" s="112" t="s">
        <v>401</v>
      </c>
      <c r="J32" s="110">
        <v>19914138621</v>
      </c>
      <c r="K32" s="402"/>
      <c r="L32" s="114">
        <v>43902</v>
      </c>
      <c r="M32" s="379" t="s">
        <v>396</v>
      </c>
      <c r="N32" s="379"/>
      <c r="O32" s="112">
        <v>50000</v>
      </c>
      <c r="P32" s="112">
        <v>1</v>
      </c>
      <c r="Q32" s="117">
        <f>O32*P32</f>
        <v>50000</v>
      </c>
      <c r="R32" s="117">
        <v>25.28</v>
      </c>
      <c r="S32" s="112"/>
      <c r="T32" s="117">
        <v>1978</v>
      </c>
      <c r="U32" s="227">
        <v>141500</v>
      </c>
      <c r="V32" s="369">
        <f>U32-Q32</f>
        <v>91500</v>
      </c>
      <c r="W32" s="432">
        <f>(U32-Q32)/Q32</f>
        <v>1.83</v>
      </c>
      <c r="X32" s="185"/>
      <c r="Y32" s="185"/>
      <c r="Z32" s="370"/>
      <c r="AA32" s="129" t="s">
        <v>501</v>
      </c>
      <c r="AB32" s="442" t="s">
        <v>1506</v>
      </c>
      <c r="AC32" s="400" t="s">
        <v>502</v>
      </c>
      <c r="AD32" s="238"/>
    </row>
    <row r="33" spans="1:30" ht="15">
      <c r="A33" s="109">
        <f t="shared" si="3"/>
        <v>32</v>
      </c>
      <c r="B33" s="196" t="s">
        <v>840</v>
      </c>
      <c r="C33" s="114">
        <v>44936</v>
      </c>
      <c r="D33" s="114" t="s">
        <v>136</v>
      </c>
      <c r="E33" s="112" t="s">
        <v>403</v>
      </c>
      <c r="F33" s="414">
        <f>W33</f>
        <v>0.67062500000000003</v>
      </c>
      <c r="G33" s="217" t="s">
        <v>183</v>
      </c>
      <c r="H33" s="515" t="s">
        <v>745</v>
      </c>
      <c r="I33" s="112" t="s">
        <v>401</v>
      </c>
      <c r="J33" s="377" t="s">
        <v>10</v>
      </c>
      <c r="K33" s="402"/>
      <c r="L33" s="114">
        <v>44341</v>
      </c>
      <c r="M33" s="403" t="s">
        <v>181</v>
      </c>
      <c r="N33" s="516" t="s">
        <v>749</v>
      </c>
      <c r="O33" s="517">
        <v>20000</v>
      </c>
      <c r="P33" s="112">
        <v>36</v>
      </c>
      <c r="Q33" s="117">
        <v>160000</v>
      </c>
      <c r="R33" s="117" t="s">
        <v>267</v>
      </c>
      <c r="S33" s="112"/>
      <c r="T33" s="117">
        <v>6553</v>
      </c>
      <c r="U33" s="405">
        <v>267300</v>
      </c>
      <c r="V33" s="518" t="s">
        <v>313</v>
      </c>
      <c r="W33" s="432">
        <f>(U33-Q33)/Q33</f>
        <v>0.67062500000000003</v>
      </c>
      <c r="X33" s="519"/>
      <c r="Y33" s="519"/>
      <c r="Z33" s="517"/>
      <c r="AA33" s="129"/>
      <c r="AB33" s="520" t="s">
        <v>1762</v>
      </c>
      <c r="AC33" s="400"/>
      <c r="AD33" s="400"/>
    </row>
    <row r="34" spans="1:30" ht="15">
      <c r="A34" s="400">
        <v>33</v>
      </c>
      <c r="B34" s="400" t="s">
        <v>733</v>
      </c>
      <c r="C34" s="114">
        <v>45802</v>
      </c>
      <c r="D34" s="675" t="s">
        <v>136</v>
      </c>
      <c r="E34" s="112" t="s">
        <v>403</v>
      </c>
      <c r="F34" s="676"/>
      <c r="G34" s="217" t="s">
        <v>183</v>
      </c>
      <c r="H34" s="515" t="s">
        <v>745</v>
      </c>
      <c r="I34" s="112" t="s">
        <v>401</v>
      </c>
      <c r="J34" s="677" t="s">
        <v>10</v>
      </c>
      <c r="K34" s="402"/>
      <c r="L34" s="114">
        <v>44341</v>
      </c>
      <c r="M34" s="403" t="s">
        <v>181</v>
      </c>
      <c r="N34" s="403" t="s">
        <v>701</v>
      </c>
      <c r="O34" s="112">
        <v>25000</v>
      </c>
      <c r="P34" s="112">
        <v>35</v>
      </c>
      <c r="Q34" s="117">
        <v>550000</v>
      </c>
      <c r="R34" s="117" t="s">
        <v>267</v>
      </c>
      <c r="S34" s="117"/>
      <c r="T34" s="117"/>
      <c r="U34" s="405" t="s">
        <v>313</v>
      </c>
      <c r="V34" s="518" t="s">
        <v>313</v>
      </c>
      <c r="W34" s="405" t="s">
        <v>313</v>
      </c>
      <c r="X34" s="382"/>
      <c r="Y34" s="382"/>
      <c r="Z34" s="383"/>
      <c r="AA34" s="129"/>
      <c r="AB34" s="400"/>
      <c r="AC34" s="400" t="s">
        <v>761</v>
      </c>
      <c r="AD34" s="400"/>
    </row>
    <row r="35" spans="1:30" ht="15">
      <c r="A35" s="238">
        <v>1</v>
      </c>
      <c r="B35" s="238" t="s">
        <v>772</v>
      </c>
      <c r="C35" s="212">
        <v>44941</v>
      </c>
      <c r="D35" s="270" t="s">
        <v>1446</v>
      </c>
      <c r="E35" s="241" t="s">
        <v>395</v>
      </c>
      <c r="F35" s="298"/>
      <c r="G35" s="215" t="s">
        <v>183</v>
      </c>
      <c r="H35" s="215" t="s">
        <v>58</v>
      </c>
      <c r="I35" s="115" t="s">
        <v>401</v>
      </c>
      <c r="J35" s="106" t="s">
        <v>704</v>
      </c>
      <c r="K35" s="268"/>
      <c r="L35" s="113">
        <v>44221</v>
      </c>
      <c r="M35" s="115" t="s">
        <v>181</v>
      </c>
      <c r="N35" s="230" t="s">
        <v>701</v>
      </c>
      <c r="O35" s="115">
        <v>20000</v>
      </c>
      <c r="P35" s="115">
        <v>8</v>
      </c>
      <c r="Q35" s="118">
        <f>O35*P35</f>
        <v>160000</v>
      </c>
      <c r="R35" s="118">
        <v>36.979999999999997</v>
      </c>
      <c r="S35" s="118"/>
      <c r="T35" s="118">
        <v>3730</v>
      </c>
      <c r="U35" s="236" t="s">
        <v>313</v>
      </c>
      <c r="V35" s="236" t="s">
        <v>313</v>
      </c>
      <c r="W35" s="244">
        <v>0.12</v>
      </c>
      <c r="X35" s="210"/>
      <c r="Y35" s="210"/>
      <c r="Z35" s="136" t="s">
        <v>267</v>
      </c>
      <c r="AA35" s="120" t="s">
        <v>835</v>
      </c>
      <c r="AB35" s="238" t="s">
        <v>836</v>
      </c>
      <c r="AC35" s="238"/>
      <c r="AD35" s="238" t="s">
        <v>757</v>
      </c>
    </row>
    <row r="36" spans="1:30" ht="15">
      <c r="A36" s="238">
        <f t="shared" ref="A36:A42" si="11">A35+1</f>
        <v>2</v>
      </c>
      <c r="B36" s="238" t="s">
        <v>716</v>
      </c>
      <c r="C36" s="212">
        <v>44941</v>
      </c>
      <c r="D36" s="270" t="s">
        <v>1446</v>
      </c>
      <c r="E36" s="241" t="s">
        <v>395</v>
      </c>
      <c r="F36" s="298"/>
      <c r="G36" s="215" t="s">
        <v>183</v>
      </c>
      <c r="H36" s="211" t="s">
        <v>705</v>
      </c>
      <c r="I36" s="115" t="s">
        <v>401</v>
      </c>
      <c r="J36" s="106" t="s">
        <v>704</v>
      </c>
      <c r="K36" s="268"/>
      <c r="L36" s="113">
        <v>44216</v>
      </c>
      <c r="M36" s="115" t="s">
        <v>181</v>
      </c>
      <c r="N36" s="230" t="s">
        <v>706</v>
      </c>
      <c r="O36" s="115">
        <v>10000</v>
      </c>
      <c r="P36" s="115">
        <v>10</v>
      </c>
      <c r="Q36" s="118">
        <v>100000</v>
      </c>
      <c r="R36" s="118" t="s">
        <v>267</v>
      </c>
      <c r="S36" s="118"/>
      <c r="T36" s="118">
        <v>612</v>
      </c>
      <c r="U36" s="236" t="s">
        <v>313</v>
      </c>
      <c r="V36" s="236" t="s">
        <v>313</v>
      </c>
      <c r="W36" s="244">
        <v>0.17</v>
      </c>
      <c r="X36" s="210"/>
      <c r="Y36" s="210"/>
      <c r="Z36" s="136" t="s">
        <v>267</v>
      </c>
      <c r="AA36" s="120" t="s">
        <v>835</v>
      </c>
      <c r="AB36" s="238" t="s">
        <v>837</v>
      </c>
      <c r="AC36" s="238"/>
      <c r="AD36" s="238" t="s">
        <v>753</v>
      </c>
    </row>
    <row r="37" spans="1:30" ht="15">
      <c r="A37" s="238">
        <f t="shared" si="11"/>
        <v>3</v>
      </c>
      <c r="B37" s="238" t="s">
        <v>676</v>
      </c>
      <c r="C37" s="212">
        <v>45672</v>
      </c>
      <c r="D37" s="270" t="s">
        <v>1446</v>
      </c>
      <c r="E37" s="241" t="s">
        <v>395</v>
      </c>
      <c r="F37" s="298"/>
      <c r="G37" s="215" t="s">
        <v>183</v>
      </c>
      <c r="H37" s="220" t="s">
        <v>59</v>
      </c>
      <c r="I37" s="115" t="s">
        <v>401</v>
      </c>
      <c r="J37" s="106" t="s">
        <v>700</v>
      </c>
      <c r="K37" s="268"/>
      <c r="L37" s="113">
        <v>44242</v>
      </c>
      <c r="M37" s="115" t="s">
        <v>181</v>
      </c>
      <c r="N37" s="230" t="s">
        <v>702</v>
      </c>
      <c r="O37" s="115">
        <v>10000</v>
      </c>
      <c r="P37" s="115">
        <v>36</v>
      </c>
      <c r="Q37" s="118">
        <v>210000</v>
      </c>
      <c r="R37" s="118" t="s">
        <v>267</v>
      </c>
      <c r="S37" s="118"/>
      <c r="T37" s="118" t="s">
        <v>313</v>
      </c>
      <c r="U37" s="236" t="s">
        <v>313</v>
      </c>
      <c r="V37" s="236" t="s">
        <v>313</v>
      </c>
      <c r="W37" s="236" t="s">
        <v>313</v>
      </c>
      <c r="X37" s="210"/>
      <c r="Y37" s="210"/>
      <c r="Z37" s="136" t="s">
        <v>267</v>
      </c>
      <c r="AA37"/>
      <c r="AB37" s="238" t="s">
        <v>839</v>
      </c>
      <c r="AC37" s="238" t="s">
        <v>1029</v>
      </c>
      <c r="AD37" s="238" t="s">
        <v>754</v>
      </c>
    </row>
    <row r="38" spans="1:30" ht="15">
      <c r="A38" s="238">
        <f t="shared" si="11"/>
        <v>4</v>
      </c>
      <c r="B38" s="238" t="s">
        <v>758</v>
      </c>
      <c r="C38" s="212">
        <v>45292</v>
      </c>
      <c r="D38" s="270" t="s">
        <v>1446</v>
      </c>
      <c r="E38" s="241" t="s">
        <v>395</v>
      </c>
      <c r="F38" s="298"/>
      <c r="G38" s="215" t="s">
        <v>183</v>
      </c>
      <c r="H38" s="280" t="s">
        <v>59</v>
      </c>
      <c r="I38" s="115" t="s">
        <v>401</v>
      </c>
      <c r="J38" s="284" t="s">
        <v>709</v>
      </c>
      <c r="K38" s="268"/>
      <c r="L38" s="113">
        <v>44237</v>
      </c>
      <c r="M38" s="115" t="s">
        <v>181</v>
      </c>
      <c r="N38" s="230" t="s">
        <v>570</v>
      </c>
      <c r="O38" s="115">
        <v>15000</v>
      </c>
      <c r="P38" s="115">
        <v>34</v>
      </c>
      <c r="Q38" s="118">
        <f t="shared" ref="Q38:Q42" si="12">O38*P38</f>
        <v>510000</v>
      </c>
      <c r="R38" s="118" t="s">
        <v>267</v>
      </c>
      <c r="S38" s="384" t="s">
        <v>313</v>
      </c>
      <c r="T38" s="118" t="s">
        <v>313</v>
      </c>
      <c r="U38" s="236" t="s">
        <v>313</v>
      </c>
      <c r="V38" s="236" t="s">
        <v>313</v>
      </c>
      <c r="W38" s="236" t="s">
        <v>313</v>
      </c>
      <c r="X38" s="210"/>
      <c r="Y38" s="210"/>
      <c r="Z38" s="136"/>
      <c r="AA38" s="120"/>
      <c r="AB38" s="238" t="s">
        <v>1031</v>
      </c>
      <c r="AC38" s="238" t="s">
        <v>1054</v>
      </c>
      <c r="AD38" s="238" t="s">
        <v>1029</v>
      </c>
    </row>
    <row r="39" spans="1:30" ht="15">
      <c r="A39" s="238">
        <f t="shared" si="11"/>
        <v>5</v>
      </c>
      <c r="B39" s="238" t="s">
        <v>758</v>
      </c>
      <c r="C39" s="212">
        <v>45047</v>
      </c>
      <c r="D39" s="270" t="s">
        <v>1446</v>
      </c>
      <c r="E39" s="241" t="s">
        <v>395</v>
      </c>
      <c r="F39" s="298"/>
      <c r="G39" s="215" t="s">
        <v>183</v>
      </c>
      <c r="H39" s="220" t="s">
        <v>59</v>
      </c>
      <c r="I39" s="115" t="s">
        <v>401</v>
      </c>
      <c r="J39" s="213" t="s">
        <v>709</v>
      </c>
      <c r="K39" s="268"/>
      <c r="L39" s="113">
        <v>44341</v>
      </c>
      <c r="M39" s="115" t="s">
        <v>181</v>
      </c>
      <c r="N39" s="230" t="s">
        <v>701</v>
      </c>
      <c r="O39" s="115">
        <v>25000</v>
      </c>
      <c r="P39" s="115">
        <v>24</v>
      </c>
      <c r="Q39" s="118">
        <f t="shared" si="12"/>
        <v>600000</v>
      </c>
      <c r="R39" s="118" t="s">
        <v>267</v>
      </c>
      <c r="S39" s="384" t="s">
        <v>313</v>
      </c>
      <c r="T39" s="118" t="s">
        <v>313</v>
      </c>
      <c r="U39" s="236" t="s">
        <v>313</v>
      </c>
      <c r="V39" s="236" t="s">
        <v>313</v>
      </c>
      <c r="W39" s="236" t="s">
        <v>313</v>
      </c>
      <c r="X39" s="210"/>
      <c r="Y39" s="210"/>
      <c r="Z39" s="136"/>
      <c r="AA39" s="120"/>
      <c r="AB39" s="238" t="s">
        <v>759</v>
      </c>
      <c r="AC39" s="238" t="s">
        <v>760</v>
      </c>
      <c r="AD39" s="238"/>
    </row>
    <row r="40" spans="1:30" ht="15">
      <c r="A40" s="238">
        <f t="shared" si="11"/>
        <v>6</v>
      </c>
      <c r="B40" s="238" t="s">
        <v>758</v>
      </c>
      <c r="C40" s="212">
        <v>45047</v>
      </c>
      <c r="D40" s="270" t="s">
        <v>1446</v>
      </c>
      <c r="E40" s="241" t="s">
        <v>395</v>
      </c>
      <c r="F40" s="298"/>
      <c r="G40" s="215" t="s">
        <v>183</v>
      </c>
      <c r="H40" s="220" t="s">
        <v>59</v>
      </c>
      <c r="I40" s="115" t="s">
        <v>401</v>
      </c>
      <c r="J40" s="213" t="s">
        <v>709</v>
      </c>
      <c r="K40" s="268"/>
      <c r="L40" s="113">
        <v>44341</v>
      </c>
      <c r="M40" s="115" t="s">
        <v>181</v>
      </c>
      <c r="N40" s="230" t="s">
        <v>701</v>
      </c>
      <c r="O40" s="115">
        <v>25000</v>
      </c>
      <c r="P40" s="115">
        <v>24</v>
      </c>
      <c r="Q40" s="118">
        <f t="shared" si="12"/>
        <v>600000</v>
      </c>
      <c r="R40" s="118" t="s">
        <v>267</v>
      </c>
      <c r="S40" s="384" t="s">
        <v>313</v>
      </c>
      <c r="T40" s="118" t="s">
        <v>313</v>
      </c>
      <c r="U40" s="236" t="s">
        <v>313</v>
      </c>
      <c r="V40" s="236" t="s">
        <v>313</v>
      </c>
      <c r="W40" s="236" t="s">
        <v>313</v>
      </c>
      <c r="X40" s="210"/>
      <c r="Y40" s="210"/>
      <c r="Z40" s="136"/>
      <c r="AA40" s="120"/>
      <c r="AB40" s="238" t="s">
        <v>759</v>
      </c>
      <c r="AC40" s="238" t="s">
        <v>760</v>
      </c>
      <c r="AD40" s="238"/>
    </row>
    <row r="41" spans="1:30" ht="15">
      <c r="A41" s="238">
        <f t="shared" si="11"/>
        <v>7</v>
      </c>
      <c r="B41" s="238" t="s">
        <v>1046</v>
      </c>
      <c r="C41" s="212">
        <v>45597</v>
      </c>
      <c r="D41" s="270" t="s">
        <v>1446</v>
      </c>
      <c r="E41" s="241" t="s">
        <v>395</v>
      </c>
      <c r="F41" s="298"/>
      <c r="G41" s="215" t="s">
        <v>183</v>
      </c>
      <c r="H41" s="211" t="s">
        <v>705</v>
      </c>
      <c r="I41" s="115" t="s">
        <v>401</v>
      </c>
      <c r="J41" s="213" t="s">
        <v>709</v>
      </c>
      <c r="K41" s="268"/>
      <c r="L41" s="113">
        <v>45230</v>
      </c>
      <c r="M41" s="141" t="s">
        <v>396</v>
      </c>
      <c r="N41" s="230" t="s">
        <v>886</v>
      </c>
      <c r="O41" s="115">
        <v>300000</v>
      </c>
      <c r="P41" s="140">
        <v>1</v>
      </c>
      <c r="Q41" s="118">
        <f t="shared" si="12"/>
        <v>300000</v>
      </c>
      <c r="R41" s="118">
        <v>11.49</v>
      </c>
      <c r="S41" s="118"/>
      <c r="T41" s="118">
        <v>26117</v>
      </c>
      <c r="U41" s="118"/>
      <c r="V41" s="118"/>
      <c r="W41" s="235"/>
      <c r="X41" s="235"/>
      <c r="Y41" s="235"/>
      <c r="Z41" s="140"/>
      <c r="AA41" s="120" t="s">
        <v>1050</v>
      </c>
      <c r="AB41" s="238" t="s">
        <v>1048</v>
      </c>
      <c r="AC41" s="238"/>
      <c r="AD41" s="238"/>
    </row>
    <row r="42" spans="1:30" ht="15">
      <c r="A42" s="238">
        <f t="shared" si="11"/>
        <v>8</v>
      </c>
      <c r="B42" s="238" t="s">
        <v>1047</v>
      </c>
      <c r="C42" s="212">
        <v>45597</v>
      </c>
      <c r="D42" s="270" t="s">
        <v>1446</v>
      </c>
      <c r="E42" s="241" t="s">
        <v>395</v>
      </c>
      <c r="F42" s="298"/>
      <c r="G42" s="215" t="s">
        <v>183</v>
      </c>
      <c r="H42" s="220" t="s">
        <v>59</v>
      </c>
      <c r="I42" s="115" t="s">
        <v>401</v>
      </c>
      <c r="J42" s="213" t="s">
        <v>709</v>
      </c>
      <c r="K42" s="268"/>
      <c r="L42" s="113">
        <v>45230</v>
      </c>
      <c r="M42" s="141" t="s">
        <v>396</v>
      </c>
      <c r="N42" s="230" t="s">
        <v>886</v>
      </c>
      <c r="O42" s="115">
        <v>300000</v>
      </c>
      <c r="P42" s="140">
        <v>1</v>
      </c>
      <c r="Q42" s="118">
        <f t="shared" si="12"/>
        <v>300000</v>
      </c>
      <c r="R42" s="118">
        <v>190.12</v>
      </c>
      <c r="S42" s="118"/>
      <c r="T42" s="118">
        <v>1578</v>
      </c>
      <c r="U42" s="118"/>
      <c r="V42" s="118"/>
      <c r="W42" s="235"/>
      <c r="X42" s="235"/>
      <c r="Y42" s="235"/>
      <c r="Z42" s="140"/>
      <c r="AA42" s="120" t="s">
        <v>1050</v>
      </c>
      <c r="AB42" s="238" t="s">
        <v>1049</v>
      </c>
      <c r="AC42" s="238"/>
      <c r="AD42" s="238"/>
    </row>
    <row r="43" spans="1:30">
      <c r="S43" s="228"/>
      <c r="W43" s="186"/>
      <c r="Z43" s="86"/>
      <c r="AA43"/>
    </row>
    <row r="44" spans="1:30" ht="15.75" thickBot="1">
      <c r="H44" s="73"/>
      <c r="AB44" s="389"/>
    </row>
    <row r="45" spans="1:30" ht="15.75" thickBot="1">
      <c r="B45" s="234" t="s">
        <v>741</v>
      </c>
      <c r="H45" s="73"/>
      <c r="M45" s="73"/>
    </row>
    <row r="46" spans="1:30" ht="15.75" thickBot="1">
      <c r="B46" s="435" t="s">
        <v>737</v>
      </c>
      <c r="M46" s="73"/>
    </row>
    <row r="47" spans="1:30" ht="15" thickBot="1">
      <c r="B47" s="86"/>
      <c r="M47" s="73"/>
    </row>
    <row r="48" spans="1:30" ht="15">
      <c r="B48" s="231" t="s">
        <v>740</v>
      </c>
      <c r="C48" s="232" t="s">
        <v>1133</v>
      </c>
      <c r="D48" s="86" t="s">
        <v>1134</v>
      </c>
      <c r="M48" s="73"/>
    </row>
    <row r="49" spans="1:18" ht="15">
      <c r="B49" s="232" t="s">
        <v>738</v>
      </c>
      <c r="C49" s="232" t="s">
        <v>1132</v>
      </c>
      <c r="M49" s="73"/>
    </row>
    <row r="50" spans="1:18" ht="15.75" thickBot="1">
      <c r="B50" s="233" t="s">
        <v>739</v>
      </c>
      <c r="M50" s="73"/>
    </row>
    <row r="51" spans="1:18">
      <c r="M51" s="73"/>
    </row>
    <row r="52" spans="1:18">
      <c r="M52" s="73"/>
    </row>
    <row r="53" spans="1:18">
      <c r="M53" s="73"/>
    </row>
    <row r="54" spans="1:18">
      <c r="M54" s="73"/>
    </row>
    <row r="55" spans="1:18">
      <c r="M55" s="73"/>
    </row>
    <row r="56" spans="1:18">
      <c r="M56" s="73"/>
    </row>
    <row r="57" spans="1:18">
      <c r="M57" s="119"/>
    </row>
    <row r="58" spans="1:18">
      <c r="A58" s="73"/>
      <c r="B58" s="73"/>
      <c r="C58" s="73"/>
      <c r="D58" s="73"/>
      <c r="E58" s="73"/>
    </row>
    <row r="59" spans="1:18" ht="15">
      <c r="B59" s="120" t="s">
        <v>1024</v>
      </c>
      <c r="C59" s="237" t="s">
        <v>673</v>
      </c>
      <c r="D59" s="237">
        <v>7011448640</v>
      </c>
      <c r="O59" s="119"/>
    </row>
    <row r="60" spans="1:18" ht="15">
      <c r="B60" s="294" t="s">
        <v>1030</v>
      </c>
      <c r="C60"/>
      <c r="D60"/>
    </row>
    <row r="61" spans="1:18">
      <c r="Q61" s="73"/>
      <c r="R61" s="86"/>
    </row>
    <row r="62" spans="1:18">
      <c r="Q62" s="73"/>
      <c r="R62" s="86"/>
    </row>
    <row r="63" spans="1:18">
      <c r="E63"/>
      <c r="F63"/>
      <c r="G63"/>
      <c r="H63"/>
      <c r="I63"/>
      <c r="J63"/>
      <c r="Q63" s="73"/>
      <c r="R63" s="86"/>
    </row>
    <row r="66" spans="1:18" ht="15">
      <c r="D66" s="278" t="s">
        <v>1003</v>
      </c>
      <c r="E66" s="278"/>
      <c r="F66" s="86"/>
      <c r="G66" s="86"/>
      <c r="I66" s="86"/>
      <c r="J66" s="86"/>
    </row>
    <row r="67" spans="1:18" ht="15">
      <c r="C67"/>
      <c r="D67" s="278" t="s">
        <v>25</v>
      </c>
      <c r="E67" s="278" t="s">
        <v>1005</v>
      </c>
      <c r="F67" s="278" t="s">
        <v>390</v>
      </c>
      <c r="G67" s="278" t="s">
        <v>983</v>
      </c>
      <c r="H67" s="278" t="s">
        <v>984</v>
      </c>
      <c r="I67" s="278" t="s">
        <v>988</v>
      </c>
      <c r="J67" s="278" t="s">
        <v>1004</v>
      </c>
      <c r="K67" s="278" t="s">
        <v>307</v>
      </c>
      <c r="M67"/>
      <c r="N67"/>
      <c r="O67"/>
      <c r="P67"/>
      <c r="Q67"/>
      <c r="R67" s="86"/>
    </row>
    <row r="68" spans="1:18" ht="15">
      <c r="D68" s="121">
        <v>1</v>
      </c>
      <c r="E68" s="121" t="s">
        <v>982</v>
      </c>
      <c r="F68" s="295" t="s">
        <v>1051</v>
      </c>
      <c r="G68" s="277">
        <v>26.7</v>
      </c>
      <c r="H68" s="277">
        <v>31.1</v>
      </c>
      <c r="I68" s="121">
        <f>H68-G68</f>
        <v>4.4000000000000021</v>
      </c>
      <c r="J68" s="121">
        <f>I68/G68*100</f>
        <v>16.479400749063679</v>
      </c>
      <c r="K68" s="273"/>
      <c r="M68"/>
      <c r="N68"/>
      <c r="O68"/>
      <c r="P68"/>
      <c r="Q68"/>
      <c r="R68" s="73"/>
    </row>
    <row r="69" spans="1:18" ht="15">
      <c r="D69" s="121">
        <v>2</v>
      </c>
      <c r="E69" s="121" t="s">
        <v>985</v>
      </c>
      <c r="F69" s="121" t="s">
        <v>1001</v>
      </c>
      <c r="G69" s="277">
        <v>9.26</v>
      </c>
      <c r="H69" s="277">
        <v>10.56</v>
      </c>
      <c r="I69" s="121">
        <f>H69-G69</f>
        <v>1.3000000000000007</v>
      </c>
      <c r="J69" s="121">
        <f>I69/G69*100</f>
        <v>14.038876889848821</v>
      </c>
      <c r="K69" s="277" t="s">
        <v>1002</v>
      </c>
      <c r="M69"/>
      <c r="N69"/>
      <c r="O69"/>
      <c r="P69"/>
      <c r="Q69"/>
      <c r="R69" s="73"/>
    </row>
    <row r="70" spans="1:18" ht="15">
      <c r="D70" s="121">
        <v>3</v>
      </c>
      <c r="E70" s="277" t="s">
        <v>1006</v>
      </c>
      <c r="F70" s="121"/>
      <c r="G70" s="121"/>
      <c r="H70" s="121"/>
      <c r="I70" s="121"/>
      <c r="J70" s="121"/>
      <c r="K70" s="281" t="s">
        <v>1010</v>
      </c>
      <c r="N70"/>
      <c r="O70"/>
      <c r="P70"/>
      <c r="Q70"/>
    </row>
    <row r="71" spans="1:18" ht="15.75">
      <c r="D71" s="121"/>
      <c r="E71" s="121"/>
      <c r="F71" s="121"/>
      <c r="G71" s="272">
        <f>SUM(G68:G70)</f>
        <v>35.96</v>
      </c>
      <c r="H71" s="279">
        <f>SUM(H68:H70)</f>
        <v>41.660000000000004</v>
      </c>
      <c r="I71" s="271">
        <f>SUM(I68:I70)</f>
        <v>5.7000000000000028</v>
      </c>
      <c r="J71" s="121">
        <f>I71/G71*100</f>
        <v>15.850945494994445</v>
      </c>
      <c r="K71" s="273"/>
    </row>
    <row r="74" spans="1:18">
      <c r="B74" s="86"/>
      <c r="E74" s="267"/>
      <c r="F74" s="86"/>
      <c r="G74" s="86"/>
      <c r="I74" s="86"/>
      <c r="J74" s="228"/>
    </row>
    <row r="75" spans="1:18">
      <c r="A75" s="86"/>
      <c r="B75" s="86"/>
      <c r="F75" s="86"/>
      <c r="G75" s="86"/>
      <c r="I75" s="86"/>
      <c r="J75" s="86"/>
    </row>
    <row r="76" spans="1:18">
      <c r="A76" s="86"/>
      <c r="B76" s="86"/>
      <c r="F76" s="86"/>
      <c r="G76" s="86"/>
      <c r="I76" s="86"/>
      <c r="J76" s="86"/>
    </row>
    <row r="77" spans="1:18">
      <c r="A77" s="86"/>
      <c r="I77" s="86"/>
      <c r="J77" s="86"/>
    </row>
    <row r="78" spans="1:18">
      <c r="A78" s="86"/>
      <c r="I78" s="86"/>
      <c r="J78" s="86"/>
    </row>
    <row r="79" spans="1:18">
      <c r="A79" s="86"/>
      <c r="I79" s="86"/>
      <c r="J79" s="86"/>
    </row>
    <row r="80" spans="1:18">
      <c r="I80" s="119"/>
      <c r="J80" s="228"/>
    </row>
  </sheetData>
  <autoFilter ref="A1:AD42" xr:uid="{B8570E97-3D6D-469B-983A-83A27680B47D}"/>
  <hyperlinks>
    <hyperlink ref="AA6" r:id="rId1" display="sheetal0123/M@123" xr:uid="{30341ED8-80A2-4286-9EBC-E03460D473C5}"/>
    <hyperlink ref="AA35" r:id="rId2" display="Seema_PAN/K@26" xr:uid="{09C74A29-EE26-45C5-B073-A0635FC57D00}"/>
    <hyperlink ref="AA36" r:id="rId3" display="Seema_PAN/K@26" xr:uid="{82817598-7F07-4F60-88D6-D578194E52FD}"/>
    <hyperlink ref="AA9" r:id="rId4" display="Seema_PAN/K@26" xr:uid="{FFF227EB-E40D-4FE0-9868-FB903BC03040}"/>
    <hyperlink ref="C59" r:id="rId5" xr:uid="{A70A816F-26BC-4BD1-8CD9-CDBAA7500A38}"/>
  </hyperlinks>
  <pageMargins left="0.7" right="0.7" top="0.75" bottom="0.75" header="0.3" footer="0.3"/>
  <pageSetup paperSize="9" orientation="portrait"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62760-3965-4BD3-A65F-CAE316B985BE}">
  <dimension ref="A1:T92"/>
  <sheetViews>
    <sheetView topLeftCell="A18" workbookViewId="0">
      <selection activeCell="C26" sqref="C26"/>
    </sheetView>
  </sheetViews>
  <sheetFormatPr defaultRowHeight="14.25"/>
  <cols>
    <col min="1" max="1" width="12.125" customWidth="1"/>
    <col min="2" max="2" width="25.375" customWidth="1"/>
    <col min="3" max="3" width="20.125" customWidth="1"/>
    <col min="4" max="4" width="17.25" customWidth="1"/>
    <col min="5" max="5" width="18.125" customWidth="1"/>
    <col min="6" max="6" width="17.25" customWidth="1"/>
    <col min="7" max="7" width="3.25" customWidth="1"/>
    <col min="8" max="8" width="4.375" customWidth="1"/>
    <col min="9" max="9" width="63.25" customWidth="1"/>
    <col min="10" max="10" width="19.75" customWidth="1"/>
    <col min="11" max="11" width="12.25" customWidth="1"/>
    <col min="12" max="12" width="9.625" customWidth="1"/>
    <col min="13" max="13" width="22.75" customWidth="1"/>
    <col min="14" max="14" width="14.375" customWidth="1"/>
    <col min="15" max="15" width="17.375" customWidth="1"/>
  </cols>
  <sheetData>
    <row r="1" spans="1:10" ht="21">
      <c r="A1" s="431" t="s">
        <v>1341</v>
      </c>
    </row>
    <row r="3" spans="1:10" ht="15">
      <c r="A3" s="418" t="s">
        <v>1522</v>
      </c>
      <c r="B3" s="418"/>
      <c r="I3" s="356" t="s">
        <v>1492</v>
      </c>
      <c r="J3" s="454"/>
    </row>
    <row r="4" spans="1:10" ht="15">
      <c r="A4" s="364" t="s">
        <v>586</v>
      </c>
      <c r="B4" s="445" t="s">
        <v>1638</v>
      </c>
      <c r="C4" s="63"/>
      <c r="D4" s="63"/>
      <c r="E4" s="456" t="s">
        <v>1639</v>
      </c>
      <c r="I4" s="345" t="s">
        <v>1493</v>
      </c>
      <c r="J4" s="63"/>
    </row>
    <row r="5" spans="1:10" ht="15">
      <c r="A5" s="445" t="s">
        <v>1523</v>
      </c>
      <c r="B5" s="364" t="s">
        <v>1544</v>
      </c>
      <c r="C5" s="63"/>
      <c r="D5" s="364" t="s">
        <v>1545</v>
      </c>
      <c r="E5" s="63"/>
      <c r="I5" s="345" t="s">
        <v>1556</v>
      </c>
      <c r="J5" s="345" t="s">
        <v>1557</v>
      </c>
    </row>
    <row r="6" spans="1:10" ht="15">
      <c r="A6" s="445" t="s">
        <v>1525</v>
      </c>
      <c r="B6" s="445" t="s">
        <v>1524</v>
      </c>
      <c r="C6" s="445"/>
      <c r="D6" s="445"/>
      <c r="E6" s="445"/>
      <c r="I6" s="345" t="s">
        <v>1555</v>
      </c>
      <c r="J6" s="63"/>
    </row>
    <row r="7" spans="1:10" ht="15">
      <c r="A7" s="445" t="s">
        <v>1528</v>
      </c>
      <c r="B7" s="445" t="s">
        <v>1526</v>
      </c>
      <c r="C7" s="445"/>
      <c r="D7" s="445" t="s">
        <v>1527</v>
      </c>
      <c r="E7" s="445"/>
      <c r="I7" s="345" t="s">
        <v>1494</v>
      </c>
      <c r="J7" s="63"/>
    </row>
    <row r="8" spans="1:10" ht="15">
      <c r="A8" s="445" t="s">
        <v>1561</v>
      </c>
      <c r="B8" s="445">
        <v>2017</v>
      </c>
      <c r="C8" s="445" t="s">
        <v>1562</v>
      </c>
      <c r="D8" s="445"/>
      <c r="E8" s="445"/>
      <c r="I8" s="396" t="s">
        <v>1518</v>
      </c>
      <c r="J8" s="396" t="s">
        <v>1553</v>
      </c>
    </row>
    <row r="9" spans="1:10" ht="15">
      <c r="A9" s="445" t="s">
        <v>1565</v>
      </c>
      <c r="B9" s="445" t="s">
        <v>1568</v>
      </c>
      <c r="C9" s="456" t="s">
        <v>1567</v>
      </c>
      <c r="D9" s="456" t="s">
        <v>1566</v>
      </c>
      <c r="E9" s="445"/>
      <c r="F9" s="455"/>
      <c r="I9" s="396" t="s">
        <v>1529</v>
      </c>
      <c r="J9" s="396" t="s">
        <v>1554</v>
      </c>
    </row>
    <row r="10" spans="1:10" ht="15">
      <c r="A10" s="445" t="s">
        <v>1659</v>
      </c>
      <c r="B10" s="445" t="s">
        <v>1660</v>
      </c>
      <c r="C10" s="456" t="s">
        <v>982</v>
      </c>
      <c r="D10" s="456" t="s">
        <v>1661</v>
      </c>
      <c r="E10" s="445"/>
      <c r="F10" s="455"/>
      <c r="I10" s="396"/>
      <c r="J10" s="396"/>
    </row>
    <row r="11" spans="1:10" ht="15">
      <c r="A11" s="455"/>
      <c r="B11" s="455"/>
      <c r="C11" s="486"/>
      <c r="D11" s="486"/>
      <c r="E11" s="455"/>
      <c r="F11" s="455"/>
      <c r="I11" s="396"/>
      <c r="J11" s="396"/>
    </row>
    <row r="12" spans="1:10" ht="15">
      <c r="I12" s="345" t="s">
        <v>1558</v>
      </c>
      <c r="J12" s="396" t="s">
        <v>1559</v>
      </c>
    </row>
    <row r="13" spans="1:10" ht="15">
      <c r="A13" s="356" t="s">
        <v>1428</v>
      </c>
      <c r="B13" s="356"/>
      <c r="C13" s="356"/>
    </row>
    <row r="14" spans="1:10" ht="15">
      <c r="A14" s="356" t="s">
        <v>1424</v>
      </c>
      <c r="B14" s="356" t="s">
        <v>390</v>
      </c>
      <c r="C14" s="356" t="s">
        <v>553</v>
      </c>
      <c r="D14" s="356" t="s">
        <v>1425</v>
      </c>
      <c r="E14" s="356" t="s">
        <v>307</v>
      </c>
      <c r="I14" s="356" t="s">
        <v>1519</v>
      </c>
      <c r="J14" s="454"/>
    </row>
    <row r="15" spans="1:10" ht="15">
      <c r="A15" s="420">
        <v>1</v>
      </c>
      <c r="B15" s="480">
        <v>45512</v>
      </c>
      <c r="C15" s="420" t="s">
        <v>1429</v>
      </c>
      <c r="D15" s="302">
        <v>3000</v>
      </c>
      <c r="E15" s="420" t="s">
        <v>1541</v>
      </c>
      <c r="I15" s="345" t="s">
        <v>1426</v>
      </c>
      <c r="J15" s="345" t="s">
        <v>1552</v>
      </c>
    </row>
    <row r="16" spans="1:10" ht="15">
      <c r="A16" s="420">
        <f>A15+1</f>
        <v>2</v>
      </c>
      <c r="B16" s="480">
        <v>45523</v>
      </c>
      <c r="C16" s="420" t="s">
        <v>1430</v>
      </c>
      <c r="D16" s="302">
        <v>0</v>
      </c>
      <c r="E16" s="420"/>
      <c r="I16" s="345" t="s">
        <v>1427</v>
      </c>
      <c r="J16" s="345"/>
    </row>
    <row r="17" spans="1:10" ht="15">
      <c r="A17" s="420">
        <f t="shared" ref="A17:A25" si="0">A16+1</f>
        <v>3</v>
      </c>
      <c r="B17" s="480">
        <v>45530</v>
      </c>
      <c r="C17" s="420" t="s">
        <v>1431</v>
      </c>
      <c r="D17" s="302">
        <v>19500</v>
      </c>
      <c r="E17" s="420" t="s">
        <v>1546</v>
      </c>
    </row>
    <row r="18" spans="1:10" ht="15">
      <c r="A18" s="420">
        <f t="shared" si="0"/>
        <v>4</v>
      </c>
      <c r="B18" s="480">
        <v>45532</v>
      </c>
      <c r="C18" s="420" t="s">
        <v>1432</v>
      </c>
      <c r="D18" s="302">
        <v>8167</v>
      </c>
      <c r="E18" s="420" t="s">
        <v>1542</v>
      </c>
    </row>
    <row r="19" spans="1:10" ht="15">
      <c r="A19" s="420">
        <f t="shared" si="0"/>
        <v>5</v>
      </c>
      <c r="B19" s="480">
        <v>45534</v>
      </c>
      <c r="C19" s="420" t="s">
        <v>1461</v>
      </c>
      <c r="D19" s="302">
        <v>0</v>
      </c>
      <c r="E19" s="420"/>
      <c r="I19" s="356" t="s">
        <v>2038</v>
      </c>
      <c r="J19" s="454"/>
    </row>
    <row r="20" spans="1:10" ht="15">
      <c r="A20" s="420">
        <f t="shared" si="0"/>
        <v>6</v>
      </c>
      <c r="B20" s="480">
        <v>45537</v>
      </c>
      <c r="C20" s="420" t="s">
        <v>1462</v>
      </c>
      <c r="D20" s="302">
        <v>0</v>
      </c>
      <c r="E20" s="420"/>
      <c r="I20" s="396" t="s">
        <v>1489</v>
      </c>
      <c r="J20" s="396"/>
    </row>
    <row r="21" spans="1:10" ht="15">
      <c r="A21" s="420">
        <f t="shared" si="0"/>
        <v>7</v>
      </c>
      <c r="B21" s="480">
        <v>45549</v>
      </c>
      <c r="C21" s="420" t="s">
        <v>1419</v>
      </c>
      <c r="D21" s="302">
        <v>484</v>
      </c>
      <c r="E21" s="420" t="s">
        <v>1491</v>
      </c>
      <c r="I21" s="396" t="s">
        <v>1496</v>
      </c>
      <c r="J21" s="396" t="s">
        <v>1520</v>
      </c>
    </row>
    <row r="22" spans="1:10" ht="15">
      <c r="A22" s="420">
        <f t="shared" si="0"/>
        <v>8</v>
      </c>
      <c r="B22" s="480">
        <v>45556</v>
      </c>
      <c r="C22" s="420" t="s">
        <v>1434</v>
      </c>
      <c r="D22" s="302">
        <v>4000</v>
      </c>
      <c r="E22" s="420" t="s">
        <v>1434</v>
      </c>
    </row>
    <row r="23" spans="1:10" ht="15">
      <c r="A23" s="420">
        <f t="shared" si="0"/>
        <v>9</v>
      </c>
      <c r="B23" s="480">
        <v>45568</v>
      </c>
      <c r="C23" s="420" t="s">
        <v>1490</v>
      </c>
      <c r="D23" s="302">
        <v>0</v>
      </c>
      <c r="E23" s="419"/>
    </row>
    <row r="24" spans="1:10" ht="15">
      <c r="A24" s="420">
        <f t="shared" si="0"/>
        <v>10</v>
      </c>
      <c r="B24" s="480">
        <v>45586</v>
      </c>
      <c r="C24" s="420" t="s">
        <v>1483</v>
      </c>
      <c r="D24" s="302"/>
      <c r="E24" s="444">
        <v>0.5</v>
      </c>
      <c r="I24" s="356" t="s">
        <v>1787</v>
      </c>
      <c r="J24" s="454"/>
    </row>
    <row r="25" spans="1:10" ht="15">
      <c r="A25" s="420">
        <f t="shared" si="0"/>
        <v>11</v>
      </c>
      <c r="B25" s="480">
        <v>45590</v>
      </c>
      <c r="C25" s="420" t="s">
        <v>1543</v>
      </c>
      <c r="D25" s="302">
        <v>14412</v>
      </c>
      <c r="E25" s="444">
        <v>0.52083333333333337</v>
      </c>
      <c r="I25" s="345" t="s">
        <v>1512</v>
      </c>
      <c r="J25" s="345" t="s">
        <v>1508</v>
      </c>
    </row>
    <row r="26" spans="1:10" ht="15">
      <c r="A26" s="420"/>
      <c r="B26" s="480">
        <v>45608</v>
      </c>
      <c r="C26" s="420"/>
      <c r="D26" s="576">
        <v>324</v>
      </c>
      <c r="E26" s="302">
        <f>81+243</f>
        <v>324</v>
      </c>
      <c r="I26" s="345"/>
      <c r="J26" s="345"/>
    </row>
    <row r="27" spans="1:10" ht="15">
      <c r="A27" s="420">
        <f>A25+1</f>
        <v>12</v>
      </c>
      <c r="B27" s="480">
        <v>45646</v>
      </c>
      <c r="C27" s="444" t="s">
        <v>1859</v>
      </c>
      <c r="D27" s="576">
        <v>639</v>
      </c>
      <c r="E27" s="419"/>
      <c r="I27" s="345"/>
      <c r="J27" s="345"/>
    </row>
    <row r="28" spans="1:10" ht="15">
      <c r="A28" s="420"/>
      <c r="B28" s="420"/>
      <c r="C28" s="419" t="s">
        <v>1433</v>
      </c>
      <c r="D28" s="391">
        <f>SUM(D15:D25)-D26-D27</f>
        <v>48600</v>
      </c>
      <c r="E28" s="419" t="s">
        <v>1860</v>
      </c>
      <c r="F28" s="134"/>
      <c r="I28" s="345" t="s">
        <v>1516</v>
      </c>
      <c r="J28" s="396" t="s">
        <v>1511</v>
      </c>
    </row>
    <row r="29" spans="1:10" ht="15">
      <c r="A29" s="420"/>
      <c r="B29" s="420"/>
      <c r="C29" s="420"/>
      <c r="D29" s="419"/>
      <c r="E29" s="419"/>
      <c r="I29" s="345" t="s">
        <v>1514</v>
      </c>
      <c r="J29" s="345" t="s">
        <v>1517</v>
      </c>
    </row>
    <row r="30" spans="1:10" ht="15">
      <c r="I30" s="345" t="s">
        <v>1515</v>
      </c>
      <c r="J30" s="345" t="s">
        <v>1521</v>
      </c>
    </row>
    <row r="31" spans="1:10" ht="15">
      <c r="A31" s="356" t="s">
        <v>1663</v>
      </c>
      <c r="B31" s="356"/>
      <c r="I31" s="345" t="s">
        <v>1513</v>
      </c>
      <c r="J31" s="345"/>
    </row>
    <row r="32" spans="1:10" ht="15">
      <c r="A32" s="487"/>
      <c r="B32" s="420" t="s">
        <v>1278</v>
      </c>
      <c r="C32" s="391">
        <v>225000</v>
      </c>
      <c r="D32" s="391" t="s">
        <v>1670</v>
      </c>
      <c r="E32" s="488"/>
      <c r="I32" s="345" t="s">
        <v>1510</v>
      </c>
      <c r="J32" s="345"/>
    </row>
    <row r="33" spans="1:11" ht="15">
      <c r="A33" s="487"/>
      <c r="B33" s="420" t="s">
        <v>1668</v>
      </c>
      <c r="C33" s="391">
        <f>C32+C35+C36</f>
        <v>252063</v>
      </c>
      <c r="D33" s="391" t="s">
        <v>1669</v>
      </c>
      <c r="E33" s="488"/>
      <c r="I33" s="396" t="s">
        <v>1509</v>
      </c>
      <c r="J33" s="345"/>
    </row>
    <row r="34" spans="1:11" ht="15">
      <c r="A34" s="63"/>
      <c r="B34" s="420" t="s">
        <v>1541</v>
      </c>
      <c r="C34" s="302">
        <f>D15+D17</f>
        <v>22500</v>
      </c>
      <c r="D34" s="424" t="s">
        <v>1664</v>
      </c>
      <c r="E34" s="489">
        <v>0.1</v>
      </c>
    </row>
    <row r="35" spans="1:11" ht="15">
      <c r="A35" s="63"/>
      <c r="B35" s="420" t="s">
        <v>1662</v>
      </c>
      <c r="C35" s="302">
        <f>D18+D22</f>
        <v>12167</v>
      </c>
      <c r="D35" s="424" t="s">
        <v>1665</v>
      </c>
      <c r="E35" s="490">
        <v>5.3999999999999999E-2</v>
      </c>
    </row>
    <row r="36" spans="1:11" ht="15">
      <c r="A36" s="63"/>
      <c r="B36" s="420" t="s">
        <v>1476</v>
      </c>
      <c r="C36" s="302">
        <f>D21+D25</f>
        <v>14896</v>
      </c>
      <c r="D36" s="424" t="s">
        <v>1666</v>
      </c>
      <c r="E36" s="490">
        <v>6.6000000000000003E-2</v>
      </c>
    </row>
    <row r="37" spans="1:11" ht="15">
      <c r="A37" s="63"/>
      <c r="B37" s="420" t="s">
        <v>280</v>
      </c>
      <c r="C37" s="302">
        <f>SUM(C34:C36)</f>
        <v>49563</v>
      </c>
      <c r="D37" s="424" t="s">
        <v>1667</v>
      </c>
      <c r="E37" s="489" t="s">
        <v>1671</v>
      </c>
    </row>
    <row r="38" spans="1:11" ht="15">
      <c r="A38" s="63"/>
      <c r="B38" s="420" t="s">
        <v>45</v>
      </c>
      <c r="C38" s="358">
        <f>C33-C37</f>
        <v>202500</v>
      </c>
      <c r="D38" s="491" t="s">
        <v>1672</v>
      </c>
      <c r="E38" s="489"/>
    </row>
    <row r="40" spans="1:11" ht="15">
      <c r="A40" s="356" t="s">
        <v>1549</v>
      </c>
      <c r="B40" s="356" t="s">
        <v>1384</v>
      </c>
      <c r="C40" s="303" t="s">
        <v>1550</v>
      </c>
      <c r="D40" s="303" t="s">
        <v>45</v>
      </c>
      <c r="E40" s="303" t="s">
        <v>307</v>
      </c>
      <c r="H40" s="303" t="s">
        <v>1500</v>
      </c>
      <c r="I40" s="356" t="s">
        <v>1535</v>
      </c>
      <c r="J40" s="356" t="s">
        <v>284</v>
      </c>
      <c r="K40" s="356" t="s">
        <v>307</v>
      </c>
    </row>
    <row r="41" spans="1:11" ht="15">
      <c r="A41" s="345">
        <v>1</v>
      </c>
      <c r="B41" s="345" t="s">
        <v>1278</v>
      </c>
      <c r="C41" s="302">
        <v>225000</v>
      </c>
      <c r="D41" s="447"/>
      <c r="E41" s="358" t="s">
        <v>1540</v>
      </c>
      <c r="H41" s="345">
        <v>1</v>
      </c>
      <c r="I41" s="420" t="s">
        <v>1573</v>
      </c>
      <c r="J41" s="395" t="s">
        <v>1495</v>
      </c>
      <c r="K41" s="420"/>
    </row>
    <row r="42" spans="1:11" ht="15">
      <c r="A42" s="345">
        <v>2</v>
      </c>
      <c r="B42" s="345" t="s">
        <v>1536</v>
      </c>
      <c r="C42" s="302">
        <f>C41*0.054</f>
        <v>12150</v>
      </c>
      <c r="D42" s="448"/>
      <c r="E42" s="63"/>
      <c r="H42" s="345">
        <f>H41+1</f>
        <v>2</v>
      </c>
      <c r="I42" s="420" t="s">
        <v>1438</v>
      </c>
      <c r="J42" s="395" t="s">
        <v>1495</v>
      </c>
      <c r="K42" s="420" t="s">
        <v>1570</v>
      </c>
    </row>
    <row r="43" spans="1:11" ht="15">
      <c r="A43" s="345">
        <v>3</v>
      </c>
      <c r="B43" s="345" t="s">
        <v>1386</v>
      </c>
      <c r="C43" s="302">
        <v>12167</v>
      </c>
      <c r="D43" s="447" t="s">
        <v>1538</v>
      </c>
      <c r="E43" s="63"/>
      <c r="H43" s="345">
        <f t="shared" ref="H43:H50" si="1">H42+1</f>
        <v>3</v>
      </c>
      <c r="I43" s="420" t="s">
        <v>1572</v>
      </c>
      <c r="J43" s="395" t="s">
        <v>1495</v>
      </c>
      <c r="K43" s="420" t="s">
        <v>1571</v>
      </c>
    </row>
    <row r="44" spans="1:11" ht="15">
      <c r="A44" s="345">
        <v>4</v>
      </c>
      <c r="B44" s="345" t="s">
        <v>1419</v>
      </c>
      <c r="C44" s="302">
        <v>500</v>
      </c>
      <c r="D44" s="448">
        <v>0</v>
      </c>
      <c r="E44" s="345" t="s">
        <v>1420</v>
      </c>
      <c r="H44" s="345">
        <f t="shared" si="1"/>
        <v>4</v>
      </c>
      <c r="I44" s="420" t="s">
        <v>1497</v>
      </c>
      <c r="J44" s="63" t="s">
        <v>267</v>
      </c>
      <c r="K44" s="420"/>
    </row>
    <row r="45" spans="1:11" ht="15">
      <c r="A45" s="345">
        <v>5</v>
      </c>
      <c r="B45" s="345" t="s">
        <v>1537</v>
      </c>
      <c r="C45" s="302">
        <v>1200</v>
      </c>
      <c r="D45" s="448"/>
      <c r="E45" s="63"/>
      <c r="H45" s="345">
        <f t="shared" si="1"/>
        <v>5</v>
      </c>
      <c r="I45" s="420" t="s">
        <v>1435</v>
      </c>
      <c r="J45" s="63" t="s">
        <v>267</v>
      </c>
      <c r="K45" s="420"/>
    </row>
    <row r="46" spans="1:11" ht="15">
      <c r="A46" s="345"/>
      <c r="B46" s="345" t="s">
        <v>1387</v>
      </c>
      <c r="C46" s="391">
        <f>SUM(C41:C45)</f>
        <v>251017</v>
      </c>
      <c r="D46" s="447">
        <f>C46*90</f>
        <v>22591530</v>
      </c>
      <c r="E46" s="358" t="s">
        <v>1539</v>
      </c>
      <c r="H46" s="345">
        <f t="shared" si="1"/>
        <v>6</v>
      </c>
      <c r="I46" s="420" t="s">
        <v>1436</v>
      </c>
      <c r="J46" s="63" t="s">
        <v>267</v>
      </c>
      <c r="K46" s="420" t="s">
        <v>1551</v>
      </c>
    </row>
    <row r="47" spans="1:11" ht="15">
      <c r="A47" s="345"/>
      <c r="B47" s="345"/>
      <c r="C47" s="302"/>
      <c r="D47" s="447"/>
      <c r="E47" s="345"/>
      <c r="H47" s="345">
        <f t="shared" si="1"/>
        <v>7</v>
      </c>
      <c r="I47" s="420" t="s">
        <v>1437</v>
      </c>
      <c r="J47" s="63" t="s">
        <v>267</v>
      </c>
      <c r="K47" s="420"/>
    </row>
    <row r="48" spans="1:11" ht="15">
      <c r="A48" s="345"/>
      <c r="B48" s="395" t="s">
        <v>1417</v>
      </c>
      <c r="C48" s="63"/>
      <c r="D48" s="448"/>
      <c r="E48" s="345"/>
      <c r="H48" s="345">
        <f t="shared" si="1"/>
        <v>8</v>
      </c>
      <c r="I48" s="420" t="s">
        <v>1560</v>
      </c>
      <c r="J48" s="395" t="s">
        <v>1495</v>
      </c>
      <c r="K48" s="420"/>
    </row>
    <row r="49" spans="1:20" ht="15">
      <c r="A49" s="345"/>
      <c r="B49" s="345" t="s">
        <v>1391</v>
      </c>
      <c r="C49" s="302">
        <f>0.9*C41</f>
        <v>202500</v>
      </c>
      <c r="D49" s="446" t="s">
        <v>1410</v>
      </c>
      <c r="E49" s="453"/>
      <c r="F49" s="451" t="s">
        <v>1416</v>
      </c>
      <c r="G49" s="357"/>
      <c r="H49" s="345">
        <f t="shared" si="1"/>
        <v>9</v>
      </c>
      <c r="I49" s="420" t="s">
        <v>1498</v>
      </c>
      <c r="J49" s="63" t="s">
        <v>267</v>
      </c>
      <c r="K49" s="420"/>
    </row>
    <row r="50" spans="1:20" ht="15">
      <c r="A50" s="345"/>
      <c r="B50" s="345" t="s">
        <v>43</v>
      </c>
      <c r="C50" s="417">
        <v>878</v>
      </c>
      <c r="D50" s="449">
        <f>C50-D51</f>
        <v>708.7</v>
      </c>
      <c r="E50" s="345" t="s">
        <v>1412</v>
      </c>
      <c r="F50" s="452">
        <f>D50/C50*100</f>
        <v>80.717539863325754</v>
      </c>
      <c r="G50" s="436"/>
      <c r="H50" s="345">
        <f t="shared" si="1"/>
        <v>10</v>
      </c>
      <c r="I50" s="345" t="s">
        <v>1499</v>
      </c>
      <c r="J50" s="63" t="s">
        <v>267</v>
      </c>
      <c r="K50" s="420"/>
    </row>
    <row r="51" spans="1:20" ht="15">
      <c r="A51" s="345"/>
      <c r="B51" s="345" t="s">
        <v>176</v>
      </c>
      <c r="C51" s="302">
        <v>60948</v>
      </c>
      <c r="D51" s="449">
        <f>C51/12/30</f>
        <v>169.3</v>
      </c>
      <c r="E51" s="345" t="s">
        <v>1393</v>
      </c>
      <c r="F51" s="452">
        <f>D51/C50*100</f>
        <v>19.282460136674263</v>
      </c>
      <c r="G51" s="436"/>
      <c r="H51" s="345">
        <v>11</v>
      </c>
      <c r="I51" s="345" t="s">
        <v>1563</v>
      </c>
      <c r="J51" s="395" t="s">
        <v>1495</v>
      </c>
      <c r="K51" s="420" t="s">
        <v>1564</v>
      </c>
    </row>
    <row r="52" spans="1:20" ht="15">
      <c r="A52" s="345"/>
      <c r="B52" s="345"/>
      <c r="C52" s="302"/>
      <c r="D52" s="449">
        <f>D50+D51</f>
        <v>878</v>
      </c>
      <c r="E52" s="345"/>
      <c r="F52" s="451"/>
      <c r="G52" s="357"/>
      <c r="H52" s="345">
        <v>12</v>
      </c>
      <c r="I52" s="345" t="s">
        <v>1569</v>
      </c>
      <c r="J52" s="395" t="s">
        <v>1495</v>
      </c>
      <c r="K52" s="443"/>
    </row>
    <row r="53" spans="1:20" ht="15">
      <c r="A53" s="345"/>
      <c r="B53" s="345" t="s">
        <v>1405</v>
      </c>
      <c r="C53" s="302">
        <v>100</v>
      </c>
      <c r="D53" s="450" t="s">
        <v>1418</v>
      </c>
      <c r="E53" s="345">
        <f>100*12*25</f>
        <v>30000</v>
      </c>
    </row>
    <row r="54" spans="1:20" ht="15">
      <c r="A54" s="345"/>
      <c r="B54" s="345" t="s">
        <v>1413</v>
      </c>
      <c r="C54" s="302">
        <v>50</v>
      </c>
      <c r="D54" s="450" t="s">
        <v>1418</v>
      </c>
      <c r="E54" s="63"/>
    </row>
    <row r="55" spans="1:20" ht="15">
      <c r="A55" s="345"/>
      <c r="B55" s="345" t="s">
        <v>1407</v>
      </c>
      <c r="C55" s="302">
        <f>300/12</f>
        <v>25</v>
      </c>
      <c r="D55" s="450" t="s">
        <v>1418</v>
      </c>
      <c r="E55" s="63"/>
      <c r="J55" s="356" t="s">
        <v>1417</v>
      </c>
      <c r="K55" s="63"/>
      <c r="L55" s="63"/>
    </row>
    <row r="56" spans="1:20" ht="15">
      <c r="A56" s="345"/>
      <c r="B56" s="345" t="s">
        <v>1408</v>
      </c>
      <c r="C56" s="417">
        <f>C50+C53+C54+C55</f>
        <v>1053</v>
      </c>
      <c r="D56" s="447"/>
      <c r="E56" s="63"/>
      <c r="J56" s="345" t="s">
        <v>1632</v>
      </c>
      <c r="K56" s="481">
        <v>202500</v>
      </c>
      <c r="L56" s="63"/>
    </row>
    <row r="57" spans="1:20" ht="15">
      <c r="A57" s="345"/>
      <c r="B57" s="345" t="s">
        <v>1414</v>
      </c>
      <c r="C57" s="302">
        <f>C56*90</f>
        <v>94770</v>
      </c>
      <c r="D57" s="447"/>
      <c r="E57" s="63"/>
      <c r="J57" s="345" t="s">
        <v>1634</v>
      </c>
      <c r="K57" s="481">
        <f>C78*300</f>
        <v>263448</v>
      </c>
      <c r="L57" s="63"/>
    </row>
    <row r="58" spans="1:20" ht="15">
      <c r="J58" s="345" t="s">
        <v>1633</v>
      </c>
      <c r="K58" s="613" t="s">
        <v>2049</v>
      </c>
      <c r="L58" s="613" t="s">
        <v>2050</v>
      </c>
    </row>
    <row r="59" spans="1:20" ht="15">
      <c r="J59" s="345"/>
      <c r="K59" s="424"/>
      <c r="L59" s="63"/>
    </row>
    <row r="60" spans="1:20" ht="15">
      <c r="A60" s="356" t="s">
        <v>1652</v>
      </c>
      <c r="B60" s="356"/>
      <c r="C60" s="356"/>
      <c r="E60" s="356" t="s">
        <v>1281</v>
      </c>
      <c r="J60" s="63"/>
      <c r="K60" s="63"/>
      <c r="L60" s="63"/>
    </row>
    <row r="61" spans="1:20" ht="15">
      <c r="A61" s="345">
        <v>1</v>
      </c>
      <c r="B61" s="345" t="s">
        <v>1653</v>
      </c>
      <c r="C61" s="345">
        <v>425</v>
      </c>
      <c r="E61" s="345" t="s">
        <v>1280</v>
      </c>
      <c r="J61" s="63"/>
      <c r="K61" s="63"/>
      <c r="L61" s="63"/>
    </row>
    <row r="62" spans="1:20" ht="15">
      <c r="A62" s="345">
        <v>2</v>
      </c>
      <c r="B62" s="345" t="s">
        <v>1654</v>
      </c>
      <c r="C62" s="345">
        <v>630</v>
      </c>
      <c r="E62" s="345" t="s">
        <v>1547</v>
      </c>
    </row>
    <row r="63" spans="1:20" ht="15">
      <c r="A63" s="345">
        <v>3</v>
      </c>
      <c r="B63" s="345" t="s">
        <v>1655</v>
      </c>
      <c r="C63" s="345">
        <v>400</v>
      </c>
      <c r="E63" s="345" t="s">
        <v>1548</v>
      </c>
      <c r="R63" t="s">
        <v>1977</v>
      </c>
      <c r="T63" t="s">
        <v>1981</v>
      </c>
    </row>
    <row r="64" spans="1:20" ht="15">
      <c r="A64" s="345"/>
      <c r="B64" s="345"/>
      <c r="C64" s="345"/>
      <c r="O64" t="s">
        <v>1976</v>
      </c>
      <c r="P64">
        <v>355.11</v>
      </c>
      <c r="Q64">
        <f>P64/12</f>
        <v>29.592500000000001</v>
      </c>
      <c r="R64">
        <v>27.82</v>
      </c>
      <c r="T64">
        <v>29.51</v>
      </c>
    </row>
    <row r="65" spans="1:20" ht="15">
      <c r="A65" s="345"/>
      <c r="B65" s="345"/>
      <c r="C65" s="345"/>
      <c r="J65" s="356" t="s">
        <v>1944</v>
      </c>
      <c r="K65" s="63"/>
      <c r="O65" t="s">
        <v>1978</v>
      </c>
      <c r="P65">
        <v>444.56</v>
      </c>
      <c r="Q65">
        <f>P65/12</f>
        <v>37.046666666666667</v>
      </c>
      <c r="R65">
        <v>61.6</v>
      </c>
      <c r="S65" t="s">
        <v>1980</v>
      </c>
      <c r="T65">
        <v>65.8</v>
      </c>
    </row>
    <row r="66" spans="1:20" ht="15">
      <c r="A66" s="345"/>
      <c r="B66" s="345"/>
      <c r="C66" s="345"/>
      <c r="J66" s="345" t="s">
        <v>1945</v>
      </c>
      <c r="K66" s="481">
        <v>878.16</v>
      </c>
      <c r="M66">
        <v>376.72</v>
      </c>
      <c r="O66" t="s">
        <v>1979</v>
      </c>
      <c r="P66">
        <v>376.72</v>
      </c>
      <c r="Q66">
        <f>P66/12</f>
        <v>31.393333333333334</v>
      </c>
    </row>
    <row r="67" spans="1:20" ht="15">
      <c r="A67" s="345"/>
      <c r="B67" s="345"/>
      <c r="C67" s="345"/>
      <c r="J67" s="345" t="s">
        <v>1983</v>
      </c>
      <c r="K67" s="481">
        <v>65.8</v>
      </c>
      <c r="M67">
        <f>M66/12</f>
        <v>31.393333333333334</v>
      </c>
    </row>
    <row r="68" spans="1:20" ht="15">
      <c r="J68" s="345" t="s">
        <v>1984</v>
      </c>
      <c r="K68" s="481">
        <v>29.51</v>
      </c>
      <c r="O68" t="s">
        <v>1982</v>
      </c>
      <c r="T68">
        <v>878.16</v>
      </c>
    </row>
    <row r="69" spans="1:20" ht="15">
      <c r="J69" s="345"/>
      <c r="K69" s="598">
        <f>SUM(K66:K68)</f>
        <v>973.46999999999991</v>
      </c>
      <c r="T69">
        <f>SUM(T64:T68)</f>
        <v>973.47</v>
      </c>
    </row>
    <row r="70" spans="1:20" ht="15">
      <c r="A70" s="356" t="s">
        <v>1421</v>
      </c>
      <c r="B70" s="356"/>
    </row>
    <row r="71" spans="1:20" ht="15">
      <c r="A71" s="356"/>
      <c r="B71" s="356" t="s">
        <v>310</v>
      </c>
      <c r="C71" s="356" t="s">
        <v>1422</v>
      </c>
      <c r="D71" s="356" t="s">
        <v>1423</v>
      </c>
      <c r="E71" s="356" t="s">
        <v>307</v>
      </c>
      <c r="F71" s="356" t="s">
        <v>307</v>
      </c>
    </row>
    <row r="72" spans="1:20" ht="165">
      <c r="A72" s="615">
        <v>1</v>
      </c>
      <c r="B72" s="615" t="s">
        <v>1324</v>
      </c>
      <c r="C72" s="616" t="s">
        <v>1326</v>
      </c>
      <c r="D72" s="615"/>
      <c r="E72" s="616" t="s">
        <v>1325</v>
      </c>
      <c r="F72" s="616" t="s">
        <v>1327</v>
      </c>
      <c r="G72" s="437"/>
    </row>
    <row r="76" spans="1:20" ht="15">
      <c r="A76" s="418" t="s">
        <v>1631</v>
      </c>
      <c r="B76" s="485"/>
      <c r="C76" s="485"/>
      <c r="D76" s="485"/>
      <c r="E76" s="485"/>
      <c r="F76" s="485"/>
    </row>
    <row r="77" spans="1:20" ht="15">
      <c r="A77" s="363" t="s">
        <v>25</v>
      </c>
      <c r="B77" s="363" t="s">
        <v>390</v>
      </c>
      <c r="C77" s="363" t="s">
        <v>2058</v>
      </c>
      <c r="D77" s="363" t="s">
        <v>1656</v>
      </c>
      <c r="E77" s="363" t="s">
        <v>1657</v>
      </c>
      <c r="F77" s="363" t="s">
        <v>2059</v>
      </c>
    </row>
    <row r="78" spans="1:20" ht="15">
      <c r="A78" s="63">
        <v>1</v>
      </c>
      <c r="B78" s="614" t="s">
        <v>2056</v>
      </c>
      <c r="C78" s="424">
        <v>878.16</v>
      </c>
      <c r="D78" s="424">
        <v>66</v>
      </c>
      <c r="E78" s="424">
        <v>30</v>
      </c>
      <c r="F78" s="424">
        <f>(C78+D78+E78)*2</f>
        <v>1948.32</v>
      </c>
    </row>
    <row r="79" spans="1:20" ht="15">
      <c r="A79" s="63">
        <f>A78+1</f>
        <v>2</v>
      </c>
      <c r="B79" s="614" t="s">
        <v>2057</v>
      </c>
      <c r="C79" s="424">
        <v>878.16</v>
      </c>
      <c r="D79" s="424">
        <v>66</v>
      </c>
      <c r="E79" s="424">
        <v>30</v>
      </c>
      <c r="F79" s="424">
        <f>(C79+D79+E79)*12</f>
        <v>11689.92</v>
      </c>
    </row>
    <row r="80" spans="1:20" ht="15">
      <c r="F80" s="424">
        <f>F78+F79</f>
        <v>13638.24</v>
      </c>
    </row>
    <row r="84" spans="1:8" ht="15">
      <c r="A84" s="418" t="s">
        <v>2051</v>
      </c>
      <c r="B84" s="418"/>
    </row>
    <row r="85" spans="1:8" ht="15">
      <c r="A85" s="420">
        <v>2024</v>
      </c>
      <c r="B85" s="420" t="s">
        <v>2054</v>
      </c>
      <c r="C85" s="420">
        <f>50*2</f>
        <v>100</v>
      </c>
      <c r="D85" s="420" t="s">
        <v>2055</v>
      </c>
      <c r="E85" s="420"/>
      <c r="F85" s="63"/>
      <c r="G85" s="63"/>
      <c r="H85" s="63"/>
    </row>
    <row r="86" spans="1:8" ht="15">
      <c r="A86" s="420">
        <v>2025</v>
      </c>
      <c r="B86" s="420" t="s">
        <v>2052</v>
      </c>
      <c r="C86" s="420">
        <v>257.95999999999998</v>
      </c>
      <c r="D86" s="420" t="s">
        <v>2062</v>
      </c>
      <c r="E86" s="420" t="s">
        <v>2061</v>
      </c>
      <c r="F86" s="63"/>
      <c r="G86" s="63"/>
      <c r="H86" s="63"/>
    </row>
    <row r="87" spans="1:8" ht="15">
      <c r="A87" s="420">
        <v>2025</v>
      </c>
      <c r="B87" s="420" t="s">
        <v>2053</v>
      </c>
      <c r="C87" s="420">
        <v>69.97</v>
      </c>
      <c r="D87" s="420" t="s">
        <v>2063</v>
      </c>
      <c r="E87" s="420" t="s">
        <v>2060</v>
      </c>
      <c r="F87" s="63"/>
      <c r="G87" s="63"/>
      <c r="H87" s="63"/>
    </row>
    <row r="88" spans="1:8" ht="15">
      <c r="A88" s="420">
        <v>2025</v>
      </c>
      <c r="B88" s="420" t="s">
        <v>2054</v>
      </c>
      <c r="C88" s="420">
        <f>50*12</f>
        <v>600</v>
      </c>
      <c r="D88" s="420"/>
      <c r="E88" s="63"/>
      <c r="F88" s="63"/>
      <c r="G88" s="63"/>
      <c r="H88" s="63"/>
    </row>
    <row r="89" spans="1:8" ht="15">
      <c r="A89" s="420"/>
      <c r="B89" s="420"/>
      <c r="C89" s="420"/>
      <c r="D89" s="420"/>
      <c r="E89" s="63"/>
      <c r="F89" s="63"/>
      <c r="G89" s="63"/>
      <c r="H89" s="63"/>
    </row>
    <row r="90" spans="1:8" ht="15">
      <c r="A90" s="420"/>
      <c r="B90" s="420"/>
      <c r="C90" s="420"/>
      <c r="D90" s="420"/>
      <c r="E90" s="63"/>
      <c r="F90" s="63"/>
      <c r="G90" s="63"/>
      <c r="H90" s="63"/>
    </row>
    <row r="91" spans="1:8" ht="15">
      <c r="A91" s="420"/>
      <c r="B91" s="420"/>
      <c r="C91" s="420"/>
      <c r="D91" s="420"/>
      <c r="E91" s="63"/>
      <c r="F91" s="63"/>
      <c r="G91" s="63"/>
      <c r="H91" s="63"/>
    </row>
    <row r="92" spans="1:8" ht="15">
      <c r="A92" s="420"/>
      <c r="B92" s="420"/>
      <c r="C92" s="420"/>
      <c r="D92" s="420"/>
      <c r="E92" s="63"/>
      <c r="F92" s="63"/>
      <c r="G92" s="63"/>
      <c r="H92" s="6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P44"/>
  <sheetViews>
    <sheetView workbookViewId="0">
      <selection activeCell="C43" sqref="C43"/>
    </sheetView>
  </sheetViews>
  <sheetFormatPr defaultColWidth="8.875" defaultRowHeight="15"/>
  <cols>
    <col min="1" max="1" width="0.875" style="285" customWidth="1"/>
    <col min="2" max="2" width="15.25" style="285" customWidth="1"/>
    <col min="3" max="3" width="17.5" style="285" bestFit="1" customWidth="1"/>
    <col min="4" max="4" width="12.75" style="285" customWidth="1"/>
    <col min="5" max="5" width="15.75" style="285" bestFit="1" customWidth="1"/>
    <col min="6" max="6" width="13" style="285" customWidth="1"/>
    <col min="7" max="7" width="15.25" style="285" customWidth="1"/>
    <col min="8" max="8" width="29.875" style="285" bestFit="1" customWidth="1"/>
    <col min="9" max="9" width="14.25" style="285" customWidth="1"/>
    <col min="10" max="10" width="25.375" style="285" customWidth="1"/>
    <col min="11" max="11" width="2.25" style="285" customWidth="1"/>
    <col min="12" max="12" width="27.5" style="285" bestFit="1" customWidth="1"/>
    <col min="13" max="13" width="15" style="285" customWidth="1"/>
    <col min="14" max="14" width="4" style="285" customWidth="1"/>
    <col min="15" max="15" width="16.875" style="285" customWidth="1"/>
    <col min="16" max="16" width="19.375" style="285" customWidth="1"/>
    <col min="17" max="18" width="8.875" style="285"/>
    <col min="19" max="19" width="18.625" style="285" customWidth="1"/>
    <col min="20" max="20" width="12.625" style="285" customWidth="1"/>
    <col min="21" max="16384" width="8.875" style="285"/>
  </cols>
  <sheetData>
    <row r="1" spans="2:16" ht="15.75">
      <c r="B1" s="458" t="s">
        <v>294</v>
      </c>
      <c r="C1" s="477"/>
      <c r="D1" s="477"/>
      <c r="E1" s="477"/>
      <c r="F1" s="477"/>
      <c r="G1" s="477"/>
      <c r="H1" s="477"/>
      <c r="I1" s="477"/>
      <c r="J1" s="477"/>
      <c r="K1" s="477"/>
      <c r="L1" s="477"/>
      <c r="M1" s="477"/>
      <c r="N1" s="477"/>
      <c r="O1" s="477"/>
      <c r="P1" s="477"/>
    </row>
    <row r="2" spans="2:16" ht="15.75">
      <c r="B2" s="477"/>
      <c r="C2" s="477"/>
      <c r="D2" s="477"/>
      <c r="E2" s="477"/>
      <c r="F2" s="477"/>
      <c r="G2" s="477"/>
      <c r="H2" s="477"/>
      <c r="I2" s="477"/>
      <c r="J2" s="477"/>
      <c r="K2" s="477"/>
      <c r="L2" s="477"/>
      <c r="M2" s="477"/>
      <c r="N2" s="477"/>
      <c r="O2" s="477"/>
      <c r="P2" s="477"/>
    </row>
    <row r="3" spans="2:16" ht="15.75">
      <c r="B3" s="458" t="s">
        <v>1630</v>
      </c>
      <c r="E3" s="472"/>
      <c r="F3" s="458" t="s">
        <v>1609</v>
      </c>
      <c r="G3" s="458"/>
      <c r="H3" s="458"/>
      <c r="I3" s="472"/>
      <c r="L3" s="458" t="s">
        <v>1608</v>
      </c>
      <c r="M3" s="474"/>
      <c r="O3" s="472"/>
    </row>
    <row r="4" spans="2:16">
      <c r="B4" s="479">
        <v>41143</v>
      </c>
      <c r="C4" s="94" t="s">
        <v>347</v>
      </c>
      <c r="D4" s="289" t="s">
        <v>1838</v>
      </c>
      <c r="F4" s="695" t="s">
        <v>163</v>
      </c>
      <c r="G4" s="695"/>
      <c r="H4" s="100">
        <v>3460000</v>
      </c>
      <c r="L4" s="94" t="s">
        <v>1843</v>
      </c>
      <c r="M4" s="94">
        <v>1250</v>
      </c>
    </row>
    <row r="5" spans="2:16">
      <c r="B5" s="479">
        <v>41783</v>
      </c>
      <c r="C5" s="94" t="s">
        <v>346</v>
      </c>
      <c r="D5" s="460" t="s">
        <v>1837</v>
      </c>
      <c r="F5" s="695" t="s">
        <v>164</v>
      </c>
      <c r="G5" s="695"/>
      <c r="H5" s="100">
        <f>F30+E30</f>
        <v>2883566</v>
      </c>
      <c r="L5" s="94" t="s">
        <v>1844</v>
      </c>
      <c r="M5" s="94">
        <v>2199</v>
      </c>
    </row>
    <row r="6" spans="2:16">
      <c r="B6" s="479">
        <v>43264</v>
      </c>
      <c r="C6" s="289" t="s">
        <v>1839</v>
      </c>
      <c r="D6" s="289" t="s">
        <v>1840</v>
      </c>
      <c r="F6" s="696" t="s">
        <v>45</v>
      </c>
      <c r="G6" s="696"/>
      <c r="H6" s="568">
        <f>H4-H5</f>
        <v>576434</v>
      </c>
      <c r="I6" s="514" t="s">
        <v>1842</v>
      </c>
      <c r="L6" s="289" t="s">
        <v>1845</v>
      </c>
      <c r="M6" s="571">
        <f>M5+300</f>
        <v>2499</v>
      </c>
    </row>
    <row r="7" spans="2:16">
      <c r="B7" s="479">
        <v>45589</v>
      </c>
      <c r="C7" s="289" t="s">
        <v>1618</v>
      </c>
      <c r="D7" s="289"/>
      <c r="H7" s="472"/>
      <c r="L7" s="94" t="s">
        <v>165</v>
      </c>
      <c r="M7" s="100">
        <f>M4*M5</f>
        <v>2748750</v>
      </c>
    </row>
    <row r="8" spans="2:16">
      <c r="B8" s="567"/>
      <c r="F8" s="285" t="s">
        <v>1846</v>
      </c>
      <c r="H8" s="100">
        <v>277553</v>
      </c>
      <c r="L8" s="94" t="s">
        <v>347</v>
      </c>
      <c r="M8" s="94" t="s">
        <v>348</v>
      </c>
    </row>
    <row r="9" spans="2:16">
      <c r="B9" s="567"/>
      <c r="F9" s="285" t="s">
        <v>1847</v>
      </c>
      <c r="H9" s="100">
        <v>375000</v>
      </c>
      <c r="L9" s="94" t="s">
        <v>346</v>
      </c>
      <c r="M9" s="94" t="s">
        <v>345</v>
      </c>
    </row>
    <row r="10" spans="2:16">
      <c r="B10" s="567"/>
      <c r="H10" s="484">
        <f>H8-H9</f>
        <v>-97447</v>
      </c>
    </row>
    <row r="11" spans="2:16" ht="15.75">
      <c r="B11" s="477"/>
      <c r="C11" s="477"/>
      <c r="D11" s="477"/>
      <c r="E11" s="477"/>
      <c r="F11" s="477"/>
      <c r="G11" s="477"/>
      <c r="H11" s="477"/>
      <c r="I11" s="477"/>
      <c r="J11" s="477"/>
      <c r="K11" s="477"/>
      <c r="L11" s="477"/>
      <c r="M11" s="477"/>
      <c r="N11" s="477"/>
      <c r="O11" s="477"/>
      <c r="P11" s="477"/>
    </row>
    <row r="12" spans="2:16" ht="15.75">
      <c r="B12" s="458" t="s">
        <v>25</v>
      </c>
      <c r="C12" s="458" t="s">
        <v>146</v>
      </c>
      <c r="D12" s="458" t="s">
        <v>147</v>
      </c>
      <c r="E12" s="458" t="s">
        <v>149</v>
      </c>
      <c r="F12" s="458" t="s">
        <v>148</v>
      </c>
      <c r="G12" s="458" t="s">
        <v>339</v>
      </c>
      <c r="H12" s="458" t="s">
        <v>1606</v>
      </c>
      <c r="I12" s="458" t="s">
        <v>216</v>
      </c>
      <c r="J12" s="458" t="s">
        <v>307</v>
      </c>
      <c r="K12" s="477"/>
      <c r="L12" s="458" t="s">
        <v>1610</v>
      </c>
      <c r="M12" s="458"/>
      <c r="N12" s="478"/>
      <c r="O12" s="458" t="s">
        <v>272</v>
      </c>
      <c r="P12" s="458"/>
    </row>
    <row r="13" spans="2:16">
      <c r="B13" s="93">
        <v>1</v>
      </c>
      <c r="C13" s="482" t="s">
        <v>151</v>
      </c>
      <c r="D13" s="94"/>
      <c r="E13" s="98">
        <v>290268</v>
      </c>
      <c r="F13" s="94">
        <v>0</v>
      </c>
      <c r="G13" s="95">
        <v>41143</v>
      </c>
      <c r="H13" s="99" t="s">
        <v>332</v>
      </c>
      <c r="I13" s="94" t="s">
        <v>217</v>
      </c>
      <c r="J13" s="289"/>
      <c r="L13" s="93" t="s">
        <v>166</v>
      </c>
      <c r="M13" s="94">
        <v>2300000</v>
      </c>
      <c r="N13" s="472"/>
      <c r="O13" s="94" t="s">
        <v>273</v>
      </c>
      <c r="P13" s="94">
        <v>3456700</v>
      </c>
    </row>
    <row r="14" spans="2:16">
      <c r="B14" s="93">
        <f>B13+1</f>
        <v>2</v>
      </c>
      <c r="C14" s="482" t="s">
        <v>153</v>
      </c>
      <c r="D14" s="94"/>
      <c r="E14" s="98">
        <v>531400</v>
      </c>
      <c r="F14" s="94">
        <v>0</v>
      </c>
      <c r="G14" s="97">
        <v>41202</v>
      </c>
      <c r="H14" s="99" t="s">
        <v>333</v>
      </c>
      <c r="I14" s="94" t="s">
        <v>217</v>
      </c>
      <c r="J14" s="289"/>
      <c r="L14" s="93" t="s">
        <v>167</v>
      </c>
      <c r="M14" s="94">
        <f>M13-F30</f>
        <v>501489</v>
      </c>
      <c r="N14" s="472"/>
      <c r="O14" s="94" t="s">
        <v>277</v>
      </c>
      <c r="P14" s="94">
        <v>2359018</v>
      </c>
    </row>
    <row r="15" spans="2:16">
      <c r="B15" s="93">
        <f t="shared" ref="B15:B29" si="0">B14+1</f>
        <v>3</v>
      </c>
      <c r="C15" s="482" t="s">
        <v>1605</v>
      </c>
      <c r="D15" s="94"/>
      <c r="E15" s="98">
        <v>178332</v>
      </c>
      <c r="F15" s="94">
        <v>0</v>
      </c>
      <c r="G15" s="95">
        <v>41503</v>
      </c>
      <c r="H15" s="96" t="s">
        <v>334</v>
      </c>
      <c r="I15" s="94" t="s">
        <v>217</v>
      </c>
      <c r="J15" s="289"/>
      <c r="L15" s="472"/>
      <c r="M15" s="472"/>
      <c r="N15" s="472"/>
      <c r="O15" s="94"/>
      <c r="P15" s="94"/>
    </row>
    <row r="16" spans="2:16" ht="15.75">
      <c r="B16" s="93">
        <f t="shared" si="0"/>
        <v>4</v>
      </c>
      <c r="C16" s="482" t="s">
        <v>1604</v>
      </c>
      <c r="D16" s="94"/>
      <c r="E16" s="98">
        <v>15090</v>
      </c>
      <c r="F16" s="94">
        <v>0</v>
      </c>
      <c r="G16" s="95">
        <v>41727</v>
      </c>
      <c r="H16" s="96" t="s">
        <v>335</v>
      </c>
      <c r="I16" s="94" t="s">
        <v>217</v>
      </c>
      <c r="J16" s="289"/>
      <c r="L16" s="458" t="s">
        <v>168</v>
      </c>
      <c r="M16" s="474"/>
      <c r="N16" s="472"/>
      <c r="O16" s="94" t="s">
        <v>274</v>
      </c>
      <c r="P16" s="94">
        <v>270732</v>
      </c>
    </row>
    <row r="17" spans="2:16">
      <c r="B17" s="93">
        <f t="shared" si="0"/>
        <v>5</v>
      </c>
      <c r="C17" s="482" t="s">
        <v>1604</v>
      </c>
      <c r="D17" s="94"/>
      <c r="E17" s="98">
        <v>54000</v>
      </c>
      <c r="F17" s="94">
        <v>0</v>
      </c>
      <c r="G17" s="95">
        <v>41727</v>
      </c>
      <c r="H17" s="96" t="s">
        <v>340</v>
      </c>
      <c r="I17" s="94" t="s">
        <v>217</v>
      </c>
      <c r="J17" s="289"/>
      <c r="L17" s="94" t="s">
        <v>169</v>
      </c>
      <c r="M17" s="94">
        <v>1031283</v>
      </c>
      <c r="N17" s="472"/>
      <c r="O17" s="94" t="s">
        <v>275</v>
      </c>
      <c r="P17" s="94">
        <v>207313</v>
      </c>
    </row>
    <row r="18" spans="2:16">
      <c r="B18" s="93">
        <f t="shared" si="0"/>
        <v>6</v>
      </c>
      <c r="C18" s="482" t="s">
        <v>1604</v>
      </c>
      <c r="D18" s="289"/>
      <c r="E18" s="98">
        <f>D20-F20</f>
        <v>8420</v>
      </c>
      <c r="F18" s="94">
        <v>0</v>
      </c>
      <c r="G18" s="95">
        <v>41817</v>
      </c>
      <c r="H18" s="99" t="s">
        <v>267</v>
      </c>
      <c r="I18" s="94"/>
      <c r="J18" s="289"/>
      <c r="L18" s="94" t="s">
        <v>170</v>
      </c>
      <c r="M18" s="94">
        <v>576479</v>
      </c>
      <c r="N18" s="472"/>
      <c r="O18" s="94" t="s">
        <v>276</v>
      </c>
      <c r="P18" s="94">
        <v>95128</v>
      </c>
    </row>
    <row r="19" spans="2:16">
      <c r="B19" s="93">
        <f t="shared" si="0"/>
        <v>7</v>
      </c>
      <c r="C19" s="482" t="s">
        <v>1604</v>
      </c>
      <c r="D19" s="289"/>
      <c r="E19" s="98">
        <f>D21-F21</f>
        <v>7545</v>
      </c>
      <c r="F19" s="94">
        <v>0</v>
      </c>
      <c r="G19" s="95">
        <v>41942</v>
      </c>
      <c r="H19" s="99" t="s">
        <v>267</v>
      </c>
      <c r="I19" s="94"/>
      <c r="J19" s="289"/>
      <c r="L19" s="94" t="s">
        <v>171</v>
      </c>
      <c r="M19" s="94">
        <v>89584</v>
      </c>
      <c r="N19" s="472"/>
    </row>
    <row r="20" spans="2:16">
      <c r="B20" s="93">
        <f t="shared" si="0"/>
        <v>8</v>
      </c>
      <c r="C20" s="482" t="s">
        <v>157</v>
      </c>
      <c r="D20" s="94">
        <v>281042</v>
      </c>
      <c r="E20" s="94">
        <v>0</v>
      </c>
      <c r="F20" s="100">
        <v>272622</v>
      </c>
      <c r="G20" s="95">
        <v>41817</v>
      </c>
      <c r="H20" s="96" t="s">
        <v>336</v>
      </c>
      <c r="I20" s="94"/>
      <c r="J20" s="289"/>
      <c r="N20" s="472"/>
      <c r="O20" s="472"/>
      <c r="P20" s="472"/>
    </row>
    <row r="21" spans="2:16" ht="15.75">
      <c r="B21" s="93">
        <f t="shared" si="0"/>
        <v>9</v>
      </c>
      <c r="C21" s="482" t="s">
        <v>158</v>
      </c>
      <c r="D21" s="94">
        <v>251855</v>
      </c>
      <c r="E21" s="94">
        <v>0</v>
      </c>
      <c r="F21" s="98">
        <v>244310</v>
      </c>
      <c r="G21" s="95">
        <v>41942</v>
      </c>
      <c r="H21" s="96" t="s">
        <v>337</v>
      </c>
      <c r="I21" s="94"/>
      <c r="J21" s="289"/>
      <c r="L21" s="458" t="s">
        <v>150</v>
      </c>
      <c r="M21" s="474"/>
      <c r="N21" s="472"/>
      <c r="O21" s="472"/>
      <c r="P21" s="472"/>
    </row>
    <row r="22" spans="2:16">
      <c r="B22" s="93">
        <f t="shared" si="0"/>
        <v>10</v>
      </c>
      <c r="C22" s="482" t="s">
        <v>159</v>
      </c>
      <c r="D22" s="94">
        <v>251855</v>
      </c>
      <c r="E22" s="94">
        <v>0</v>
      </c>
      <c r="F22" s="98">
        <v>251855</v>
      </c>
      <c r="G22" s="95">
        <v>42107</v>
      </c>
      <c r="H22" s="96" t="s">
        <v>341</v>
      </c>
      <c r="I22" s="94"/>
      <c r="J22" s="289"/>
      <c r="L22" s="94" t="s">
        <v>152</v>
      </c>
      <c r="M22" s="94"/>
      <c r="N22" s="472"/>
      <c r="O22" s="472"/>
      <c r="P22" s="472"/>
    </row>
    <row r="23" spans="2:16">
      <c r="B23" s="93">
        <f t="shared" si="0"/>
        <v>11</v>
      </c>
      <c r="C23" s="482" t="s">
        <v>160</v>
      </c>
      <c r="D23" s="94">
        <v>252667</v>
      </c>
      <c r="E23" s="94">
        <v>0</v>
      </c>
      <c r="F23" s="98">
        <v>244310</v>
      </c>
      <c r="G23" s="95">
        <v>42234</v>
      </c>
      <c r="H23" s="96" t="s">
        <v>342</v>
      </c>
      <c r="I23" s="94"/>
      <c r="J23" s="289"/>
      <c r="L23" s="94" t="s">
        <v>1611</v>
      </c>
      <c r="M23" s="94"/>
      <c r="N23" s="472"/>
      <c r="O23" s="472"/>
    </row>
    <row r="24" spans="2:16" ht="17.25">
      <c r="B24" s="93">
        <f t="shared" si="0"/>
        <v>12</v>
      </c>
      <c r="C24" s="482" t="s">
        <v>1599</v>
      </c>
      <c r="D24" s="94">
        <v>261520</v>
      </c>
      <c r="E24" s="94">
        <v>0</v>
      </c>
      <c r="F24" s="100">
        <v>253439</v>
      </c>
      <c r="G24" s="95">
        <v>42461</v>
      </c>
      <c r="H24" s="96" t="s">
        <v>338</v>
      </c>
      <c r="I24" s="94"/>
      <c r="J24" s="289"/>
      <c r="L24" s="94" t="s">
        <v>154</v>
      </c>
      <c r="M24" s="94"/>
      <c r="N24" s="472"/>
      <c r="O24" s="472"/>
    </row>
    <row r="25" spans="2:16" ht="17.25">
      <c r="B25" s="93">
        <f t="shared" si="0"/>
        <v>13</v>
      </c>
      <c r="C25" s="482" t="s">
        <v>1600</v>
      </c>
      <c r="D25" s="94">
        <v>261243</v>
      </c>
      <c r="E25" s="94">
        <v>0</v>
      </c>
      <c r="F25" s="98">
        <v>261243</v>
      </c>
      <c r="G25" s="95">
        <v>42727</v>
      </c>
      <c r="H25" s="96" t="s">
        <v>343</v>
      </c>
      <c r="I25" s="94"/>
      <c r="J25" s="94" t="s">
        <v>1607</v>
      </c>
      <c r="L25" s="94" t="s">
        <v>155</v>
      </c>
      <c r="M25" s="94"/>
      <c r="O25" s="472"/>
      <c r="P25" s="472"/>
    </row>
    <row r="26" spans="2:16" ht="17.25">
      <c r="B26" s="93">
        <f t="shared" si="0"/>
        <v>14</v>
      </c>
      <c r="C26" s="482" t="s">
        <v>1601</v>
      </c>
      <c r="D26" s="94">
        <v>270732</v>
      </c>
      <c r="E26" s="94">
        <v>0</v>
      </c>
      <c r="F26" s="98">
        <f>D26</f>
        <v>270732</v>
      </c>
      <c r="G26" s="95">
        <v>43088</v>
      </c>
      <c r="H26" s="96" t="s">
        <v>344</v>
      </c>
      <c r="I26" s="94"/>
      <c r="J26" s="94" t="s">
        <v>1603</v>
      </c>
      <c r="L26" s="94" t="s">
        <v>156</v>
      </c>
      <c r="M26" s="289"/>
      <c r="O26" s="475"/>
      <c r="P26" s="472"/>
    </row>
    <row r="27" spans="2:16" ht="17.25">
      <c r="B27" s="93">
        <f t="shared" si="0"/>
        <v>15</v>
      </c>
      <c r="C27" s="483" t="s">
        <v>1602</v>
      </c>
      <c r="D27" s="484">
        <v>270732</v>
      </c>
      <c r="E27" s="94"/>
      <c r="F27" s="94"/>
      <c r="G27" s="289"/>
      <c r="H27" s="96"/>
      <c r="I27" s="94"/>
      <c r="J27" s="289"/>
      <c r="N27" s="472"/>
      <c r="O27" s="475"/>
      <c r="P27" s="472"/>
    </row>
    <row r="28" spans="2:16">
      <c r="B28" s="93">
        <f t="shared" si="0"/>
        <v>16</v>
      </c>
      <c r="C28" s="483" t="s">
        <v>161</v>
      </c>
      <c r="D28" s="484">
        <v>210702</v>
      </c>
      <c r="E28" s="94"/>
      <c r="F28" s="94"/>
      <c r="G28" s="289"/>
      <c r="H28" s="96"/>
      <c r="I28" s="94"/>
      <c r="J28" s="289"/>
      <c r="N28" s="472"/>
      <c r="O28" s="472"/>
    </row>
    <row r="29" spans="2:16">
      <c r="B29" s="93">
        <f t="shared" si="0"/>
        <v>17</v>
      </c>
      <c r="C29" s="483" t="s">
        <v>162</v>
      </c>
      <c r="D29" s="484">
        <v>95000</v>
      </c>
      <c r="E29" s="94"/>
      <c r="F29" s="94"/>
      <c r="G29" s="289"/>
      <c r="H29" s="473"/>
      <c r="I29" s="94"/>
      <c r="J29" s="289"/>
      <c r="L29" s="94" t="s">
        <v>174</v>
      </c>
      <c r="M29" s="94">
        <f>F30</f>
        <v>1798511</v>
      </c>
      <c r="N29" s="472"/>
      <c r="O29" s="472"/>
    </row>
    <row r="30" spans="2:16">
      <c r="B30" s="94"/>
      <c r="C30" s="94"/>
      <c r="D30" s="94"/>
      <c r="E30" s="476">
        <f>SUM(E13:E29)</f>
        <v>1085055</v>
      </c>
      <c r="F30" s="476">
        <f>SUM(F13:F29)</f>
        <v>1798511</v>
      </c>
      <c r="G30" s="94"/>
      <c r="H30" s="94"/>
      <c r="I30" s="94"/>
      <c r="J30" s="289"/>
      <c r="L30" s="94" t="s">
        <v>175</v>
      </c>
      <c r="M30" s="94">
        <v>400000</v>
      </c>
      <c r="N30" s="472"/>
      <c r="O30" s="472"/>
    </row>
    <row r="31" spans="2:16" ht="15.75">
      <c r="B31" s="472"/>
      <c r="C31" s="472"/>
      <c r="D31" s="472"/>
      <c r="E31" s="472"/>
      <c r="F31" s="569">
        <f>E30+F30</f>
        <v>2883566</v>
      </c>
      <c r="G31" s="472"/>
      <c r="H31" s="472"/>
      <c r="I31" s="472"/>
      <c r="J31" s="472"/>
      <c r="L31" s="289" t="s">
        <v>44</v>
      </c>
      <c r="M31" s="95">
        <v>42856</v>
      </c>
      <c r="N31" s="472"/>
      <c r="O31" s="472"/>
      <c r="P31" s="472"/>
    </row>
    <row r="32" spans="2:16">
      <c r="E32" s="472"/>
      <c r="K32" s="472"/>
      <c r="L32" s="472"/>
      <c r="M32" s="472"/>
      <c r="N32" s="472"/>
      <c r="O32" s="472"/>
    </row>
    <row r="33" spans="2:16">
      <c r="E33" s="472"/>
      <c r="L33" s="472"/>
      <c r="M33" s="472"/>
      <c r="N33" s="472"/>
      <c r="O33" s="472"/>
    </row>
    <row r="34" spans="2:16" ht="15.75">
      <c r="B34" s="458" t="s">
        <v>1613</v>
      </c>
      <c r="E34" s="472"/>
      <c r="L34" s="472"/>
      <c r="M34" s="472"/>
      <c r="N34" s="472"/>
      <c r="O34" s="472"/>
    </row>
    <row r="35" spans="2:16" ht="15.75">
      <c r="B35" s="458" t="s">
        <v>310</v>
      </c>
      <c r="C35" s="458" t="s">
        <v>1612</v>
      </c>
      <c r="D35" s="474"/>
      <c r="E35" s="472"/>
      <c r="L35" s="472"/>
      <c r="M35" s="472"/>
      <c r="N35" s="472"/>
      <c r="O35" s="472"/>
      <c r="P35" s="472"/>
    </row>
    <row r="36" spans="2:16">
      <c r="B36" s="94" t="s">
        <v>1617</v>
      </c>
      <c r="C36" s="94" t="s">
        <v>1615</v>
      </c>
      <c r="D36" s="94" t="s">
        <v>1614</v>
      </c>
      <c r="E36" s="472"/>
      <c r="L36" s="472"/>
      <c r="M36" s="475"/>
      <c r="N36" s="475"/>
      <c r="O36" s="475"/>
      <c r="P36" s="472"/>
    </row>
    <row r="37" spans="2:16">
      <c r="B37" s="94" t="s">
        <v>1617</v>
      </c>
      <c r="C37" s="94" t="s">
        <v>1616</v>
      </c>
      <c r="D37" s="94"/>
      <c r="E37" s="472"/>
      <c r="L37" s="472"/>
      <c r="M37" s="475"/>
      <c r="N37" s="475"/>
      <c r="O37" s="475"/>
      <c r="P37" s="472"/>
    </row>
    <row r="38" spans="2:16">
      <c r="B38" s="94" t="s">
        <v>1620</v>
      </c>
      <c r="C38" s="94" t="s">
        <v>1619</v>
      </c>
      <c r="D38" s="94" t="s">
        <v>1621</v>
      </c>
      <c r="E38" s="472"/>
      <c r="L38" s="472"/>
      <c r="M38" s="472"/>
      <c r="N38" s="472"/>
      <c r="O38" s="472"/>
    </row>
    <row r="39" spans="2:16">
      <c r="B39" s="94" t="s">
        <v>1629</v>
      </c>
      <c r="C39" s="94" t="s">
        <v>1628</v>
      </c>
      <c r="D39" s="94"/>
      <c r="E39" s="472"/>
      <c r="J39" s="472"/>
      <c r="K39" s="472"/>
      <c r="L39" s="472"/>
      <c r="M39" s="472"/>
      <c r="N39" s="472"/>
      <c r="O39" s="472"/>
    </row>
    <row r="40" spans="2:16">
      <c r="B40" s="94" t="s">
        <v>1629</v>
      </c>
      <c r="C40" s="570" t="s">
        <v>1841</v>
      </c>
      <c r="D40" s="94"/>
      <c r="E40" s="472"/>
      <c r="J40" s="472"/>
      <c r="K40" s="472"/>
      <c r="L40" s="472"/>
      <c r="M40" s="472"/>
      <c r="N40" s="472"/>
      <c r="O40" s="472"/>
    </row>
    <row r="41" spans="2:16">
      <c r="B41" s="94"/>
      <c r="C41" s="94"/>
      <c r="D41" s="94"/>
      <c r="E41" s="472"/>
      <c r="J41" s="472"/>
      <c r="K41" s="472"/>
      <c r="L41" s="472"/>
      <c r="M41" s="472"/>
      <c r="N41" s="472"/>
      <c r="O41" s="472"/>
    </row>
    <row r="42" spans="2:16">
      <c r="B42" s="94" t="s">
        <v>1622</v>
      </c>
      <c r="C42" s="94" t="s">
        <v>1627</v>
      </c>
      <c r="D42" s="94"/>
      <c r="E42" s="472"/>
      <c r="J42" s="472"/>
      <c r="K42" s="472"/>
      <c r="L42" s="472"/>
      <c r="M42" s="472"/>
      <c r="N42" s="472"/>
      <c r="O42" s="472"/>
    </row>
    <row r="43" spans="2:16">
      <c r="B43" s="94" t="s">
        <v>1626</v>
      </c>
      <c r="C43" s="94" t="s">
        <v>1623</v>
      </c>
      <c r="D43" s="94"/>
      <c r="E43" s="472"/>
      <c r="H43" s="472"/>
      <c r="I43" s="472"/>
      <c r="J43" s="472"/>
      <c r="K43" s="472"/>
      <c r="L43" s="472"/>
      <c r="M43" s="472"/>
      <c r="N43" s="472"/>
      <c r="O43" s="472"/>
    </row>
    <row r="44" spans="2:16">
      <c r="B44" s="94" t="s">
        <v>1625</v>
      </c>
      <c r="C44" s="94" t="s">
        <v>1624</v>
      </c>
      <c r="D44" s="94"/>
      <c r="E44" s="472"/>
      <c r="H44" s="472"/>
      <c r="I44" s="472"/>
      <c r="J44" s="472"/>
      <c r="K44" s="472"/>
      <c r="L44" s="472"/>
      <c r="M44" s="472"/>
      <c r="N44" s="472"/>
      <c r="O44" s="472"/>
    </row>
  </sheetData>
  <mergeCells count="3">
    <mergeCell ref="F4:G4"/>
    <mergeCell ref="F5:G5"/>
    <mergeCell ref="F6:G6"/>
  </mergeCells>
  <hyperlinks>
    <hyperlink ref="C39" r:id="rId1" xr:uid="{1E467A6F-1715-4CA8-A4B3-1F7965E74A09}"/>
  </hyperlinks>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3C89D-80B2-4ED6-909F-678B3AACBD60}">
  <dimension ref="A4:AE26"/>
  <sheetViews>
    <sheetView topLeftCell="B1" workbookViewId="0">
      <selection activeCell="C33" sqref="C33"/>
    </sheetView>
  </sheetViews>
  <sheetFormatPr defaultRowHeight="14.25"/>
  <cols>
    <col min="2" max="2" width="29.875" customWidth="1"/>
  </cols>
  <sheetData>
    <row r="4" spans="1:31" ht="15">
      <c r="A4" s="107" t="s">
        <v>687</v>
      </c>
      <c r="B4" s="107"/>
      <c r="C4" s="111" t="s">
        <v>1249</v>
      </c>
      <c r="D4" s="216" t="s">
        <v>431</v>
      </c>
      <c r="E4" s="111">
        <v>9899855865</v>
      </c>
      <c r="F4" s="216" t="s">
        <v>1250</v>
      </c>
      <c r="G4" s="216"/>
      <c r="H4" s="111"/>
      <c r="I4" s="111"/>
      <c r="J4" s="111"/>
      <c r="K4" s="111"/>
      <c r="L4" s="111"/>
      <c r="M4" s="111"/>
      <c r="N4" s="111"/>
      <c r="O4" s="111"/>
      <c r="P4" s="111"/>
      <c r="Q4" s="111"/>
      <c r="R4" s="111"/>
      <c r="S4" s="226"/>
      <c r="T4" s="226"/>
      <c r="U4" s="226"/>
      <c r="V4" s="226"/>
      <c r="W4" s="226"/>
      <c r="X4" s="111"/>
      <c r="Y4" s="111"/>
      <c r="Z4" s="111"/>
      <c r="AA4" s="111"/>
      <c r="AB4" s="111"/>
      <c r="AC4" s="111"/>
    </row>
    <row r="5" spans="1:31" ht="15">
      <c r="A5" s="107" t="s">
        <v>25</v>
      </c>
      <c r="B5" s="107" t="s">
        <v>394</v>
      </c>
      <c r="C5" s="111" t="s">
        <v>387</v>
      </c>
      <c r="D5" s="111" t="s">
        <v>398</v>
      </c>
      <c r="E5" s="111" t="s">
        <v>284</v>
      </c>
      <c r="F5" s="216" t="s">
        <v>381</v>
      </c>
      <c r="G5" s="216" t="s">
        <v>393</v>
      </c>
      <c r="H5" s="111" t="s">
        <v>180</v>
      </c>
      <c r="I5" s="108" t="s">
        <v>1</v>
      </c>
      <c r="J5" s="108"/>
      <c r="K5" s="111" t="s">
        <v>386</v>
      </c>
      <c r="L5" s="111" t="s">
        <v>382</v>
      </c>
      <c r="M5" s="111"/>
      <c r="N5" s="111" t="s">
        <v>389</v>
      </c>
      <c r="O5" s="111" t="s">
        <v>402</v>
      </c>
      <c r="P5" s="116" t="s">
        <v>383</v>
      </c>
      <c r="Q5" s="116"/>
      <c r="R5" s="116"/>
      <c r="S5" s="116" t="s">
        <v>384</v>
      </c>
      <c r="T5" s="226" t="s">
        <v>385</v>
      </c>
      <c r="U5" s="226" t="s">
        <v>2</v>
      </c>
      <c r="V5" s="226" t="s">
        <v>388</v>
      </c>
      <c r="W5" s="226"/>
      <c r="X5" s="184" t="s">
        <v>678</v>
      </c>
      <c r="Y5" s="184"/>
      <c r="Z5" s="184"/>
      <c r="AA5" s="111" t="s">
        <v>390</v>
      </c>
      <c r="AB5" s="107" t="s">
        <v>391</v>
      </c>
      <c r="AC5" s="107" t="s">
        <v>307</v>
      </c>
    </row>
    <row r="6" spans="1:31" ht="15.75">
      <c r="A6" s="201">
        <v>1</v>
      </c>
      <c r="B6" s="209" t="s">
        <v>688</v>
      </c>
      <c r="C6" s="203">
        <v>44197</v>
      </c>
      <c r="D6" s="204" t="s">
        <v>136</v>
      </c>
      <c r="E6" s="201" t="s">
        <v>403</v>
      </c>
      <c r="F6" s="221" t="s">
        <v>183</v>
      </c>
      <c r="G6" s="202" t="s">
        <v>58</v>
      </c>
      <c r="H6" s="204" t="s">
        <v>397</v>
      </c>
      <c r="I6" s="214" t="s">
        <v>690</v>
      </c>
      <c r="J6" s="214"/>
      <c r="K6" s="205">
        <v>43506</v>
      </c>
      <c r="L6" s="204" t="s">
        <v>181</v>
      </c>
      <c r="M6" s="204"/>
      <c r="N6" s="201">
        <v>10000</v>
      </c>
      <c r="O6" s="201">
        <v>10</v>
      </c>
      <c r="P6" s="206">
        <f>N6*O6</f>
        <v>100000</v>
      </c>
      <c r="Q6" s="206"/>
      <c r="R6" s="206"/>
      <c r="S6" s="206"/>
      <c r="T6" s="206"/>
      <c r="U6" s="206"/>
      <c r="V6" s="206">
        <v>113197</v>
      </c>
      <c r="W6" s="206"/>
      <c r="X6" s="193">
        <f>(V6-P6)/P6</f>
        <v>0.13197</v>
      </c>
      <c r="Y6" s="193"/>
      <c r="Z6" s="193"/>
      <c r="AA6" s="201"/>
      <c r="AB6" s="207" t="s">
        <v>689</v>
      </c>
      <c r="AC6" s="204" t="s">
        <v>693</v>
      </c>
    </row>
    <row r="7" spans="1:31" ht="15">
      <c r="A7" s="201">
        <v>2</v>
      </c>
      <c r="B7" s="208" t="s">
        <v>692</v>
      </c>
      <c r="C7" s="203">
        <v>44197</v>
      </c>
      <c r="D7" s="204" t="s">
        <v>136</v>
      </c>
      <c r="E7" s="201" t="s">
        <v>403</v>
      </c>
      <c r="F7" s="221" t="s">
        <v>183</v>
      </c>
      <c r="G7" s="202" t="s">
        <v>58</v>
      </c>
      <c r="H7" s="204" t="s">
        <v>397</v>
      </c>
      <c r="I7" s="202" t="s">
        <v>691</v>
      </c>
      <c r="J7" s="202"/>
      <c r="K7" s="205">
        <v>43493</v>
      </c>
      <c r="L7" s="204" t="s">
        <v>181</v>
      </c>
      <c r="M7" s="204"/>
      <c r="N7" s="201">
        <v>10000</v>
      </c>
      <c r="O7" s="201">
        <v>11</v>
      </c>
      <c r="P7" s="206">
        <f>N7*O7</f>
        <v>110000</v>
      </c>
      <c r="Q7" s="206"/>
      <c r="R7" s="206"/>
      <c r="S7" s="206"/>
      <c r="T7" s="206"/>
      <c r="U7" s="206"/>
      <c r="V7" s="206">
        <v>147465</v>
      </c>
      <c r="W7" s="206"/>
      <c r="X7" s="192">
        <f>(V7-P7)/P7</f>
        <v>0.34059090909090911</v>
      </c>
      <c r="Y7" s="192"/>
      <c r="Z7" s="192"/>
      <c r="AA7" s="201"/>
      <c r="AB7" s="201"/>
      <c r="AC7" s="204" t="s">
        <v>693</v>
      </c>
      <c r="AD7" t="s">
        <v>710</v>
      </c>
    </row>
    <row r="8" spans="1:31" ht="15.75">
      <c r="A8" s="201">
        <v>3</v>
      </c>
      <c r="B8" s="208" t="s">
        <v>694</v>
      </c>
      <c r="C8" s="203">
        <v>44927</v>
      </c>
      <c r="D8" s="204" t="s">
        <v>136</v>
      </c>
      <c r="E8" s="201" t="s">
        <v>395</v>
      </c>
      <c r="F8" s="221" t="s">
        <v>14</v>
      </c>
      <c r="G8" s="202" t="s">
        <v>58</v>
      </c>
      <c r="H8" s="204" t="s">
        <v>397</v>
      </c>
      <c r="I8" s="282" t="s">
        <v>696</v>
      </c>
      <c r="J8" s="202"/>
      <c r="K8" s="205">
        <v>43493</v>
      </c>
      <c r="L8" s="204" t="s">
        <v>181</v>
      </c>
      <c r="M8" s="204"/>
      <c r="N8" s="201">
        <v>10000</v>
      </c>
      <c r="O8" s="201">
        <v>8</v>
      </c>
      <c r="P8" s="206">
        <f>N8*O8</f>
        <v>80000</v>
      </c>
      <c r="Q8" s="206"/>
      <c r="R8" s="206"/>
      <c r="S8" s="206"/>
      <c r="T8" s="206"/>
      <c r="U8" s="206"/>
      <c r="V8" s="206">
        <v>106507</v>
      </c>
      <c r="W8" s="200"/>
      <c r="X8" s="264">
        <v>0.34</v>
      </c>
      <c r="Y8" s="115"/>
      <c r="Z8" s="115"/>
      <c r="AA8" s="115"/>
      <c r="AB8" s="199" t="s">
        <v>698</v>
      </c>
      <c r="AC8" s="263" t="s">
        <v>970</v>
      </c>
    </row>
    <row r="9" spans="1:31" ht="15">
      <c r="A9" s="201">
        <v>4</v>
      </c>
      <c r="B9" s="208" t="s">
        <v>695</v>
      </c>
      <c r="C9" s="203">
        <v>44805</v>
      </c>
      <c r="D9" s="204" t="s">
        <v>136</v>
      </c>
      <c r="E9" s="201" t="s">
        <v>395</v>
      </c>
      <c r="F9" s="221" t="s">
        <v>14</v>
      </c>
      <c r="G9" s="202" t="s">
        <v>58</v>
      </c>
      <c r="H9" s="204" t="s">
        <v>397</v>
      </c>
      <c r="I9" s="283" t="s">
        <v>697</v>
      </c>
      <c r="J9" s="202"/>
      <c r="K9" s="205">
        <v>43493</v>
      </c>
      <c r="L9" s="204" t="s">
        <v>181</v>
      </c>
      <c r="M9" s="204"/>
      <c r="N9" s="201">
        <v>10000</v>
      </c>
      <c r="O9" s="201">
        <v>8</v>
      </c>
      <c r="P9" s="206">
        <f>N9*O9</f>
        <v>80000</v>
      </c>
      <c r="Q9" s="206"/>
      <c r="R9" s="206"/>
      <c r="S9" s="206"/>
      <c r="T9" s="206"/>
      <c r="U9" s="206"/>
      <c r="V9" s="206">
        <v>116463</v>
      </c>
      <c r="W9" s="200"/>
      <c r="X9" s="264">
        <v>0.49</v>
      </c>
      <c r="Y9" s="115"/>
      <c r="Z9" s="115"/>
      <c r="AA9" s="115"/>
      <c r="AB9" s="115"/>
      <c r="AC9" s="263" t="s">
        <v>969</v>
      </c>
      <c r="AD9" t="s">
        <v>710</v>
      </c>
    </row>
    <row r="10" spans="1:31" ht="15">
      <c r="A10" s="115">
        <v>5</v>
      </c>
      <c r="B10" s="343" t="s">
        <v>1245</v>
      </c>
      <c r="C10" s="339" t="s">
        <v>1242</v>
      </c>
      <c r="D10" s="339" t="s">
        <v>136</v>
      </c>
      <c r="E10" s="343" t="s">
        <v>1248</v>
      </c>
      <c r="F10" s="215"/>
      <c r="G10" s="215"/>
      <c r="H10" s="215"/>
      <c r="I10" s="215">
        <v>37949346</v>
      </c>
      <c r="J10" s="215"/>
      <c r="K10" s="339" t="s">
        <v>1235</v>
      </c>
      <c r="L10" s="215"/>
      <c r="M10" s="215"/>
      <c r="N10" s="215"/>
      <c r="O10" s="215"/>
      <c r="P10" s="215"/>
      <c r="Q10" s="215"/>
      <c r="R10" s="215"/>
      <c r="S10" s="215"/>
      <c r="T10" s="343"/>
      <c r="U10" s="215"/>
      <c r="V10" s="215"/>
      <c r="W10" s="215"/>
      <c r="X10" s="215"/>
      <c r="Y10" s="215"/>
      <c r="Z10" s="215"/>
      <c r="AA10" s="215"/>
      <c r="AB10" s="343" t="s">
        <v>406</v>
      </c>
      <c r="AC10" s="215" t="s">
        <v>1236</v>
      </c>
      <c r="AE10" t="s">
        <v>1246</v>
      </c>
    </row>
    <row r="11" spans="1:31" ht="15">
      <c r="A11" s="115">
        <v>6</v>
      </c>
      <c r="B11" s="339" t="s">
        <v>1011</v>
      </c>
      <c r="C11" s="339" t="s">
        <v>1243</v>
      </c>
      <c r="D11" s="339" t="s">
        <v>136</v>
      </c>
      <c r="E11" s="215"/>
      <c r="F11" s="215"/>
      <c r="G11" s="215"/>
      <c r="H11" s="215"/>
      <c r="I11" s="215"/>
      <c r="J11" s="215"/>
      <c r="K11" s="339" t="s">
        <v>1235</v>
      </c>
      <c r="L11" s="215"/>
      <c r="M11" s="215"/>
      <c r="N11" s="215"/>
      <c r="O11" s="215"/>
      <c r="P11" s="215"/>
      <c r="Q11" s="215"/>
      <c r="R11" s="215"/>
      <c r="S11" s="215"/>
      <c r="T11" s="215"/>
      <c r="U11" s="215"/>
      <c r="V11" s="215"/>
      <c r="W11" s="215"/>
      <c r="X11" s="215"/>
      <c r="Y11" s="215"/>
      <c r="Z11" s="215"/>
      <c r="AA11" s="215"/>
      <c r="AB11" s="339" t="s">
        <v>1241</v>
      </c>
      <c r="AC11" s="215" t="s">
        <v>1244</v>
      </c>
    </row>
    <row r="12" spans="1:31" ht="15">
      <c r="A12" s="115">
        <v>7</v>
      </c>
      <c r="B12" s="343" t="s">
        <v>1247</v>
      </c>
      <c r="C12" s="339" t="s">
        <v>1242</v>
      </c>
      <c r="D12" s="339" t="s">
        <v>136</v>
      </c>
      <c r="E12" s="215"/>
      <c r="F12" s="215"/>
      <c r="G12" s="215"/>
      <c r="H12" s="215"/>
      <c r="I12" s="215"/>
      <c r="J12" s="215"/>
      <c r="K12" s="339"/>
      <c r="L12" s="215"/>
      <c r="M12" s="215"/>
      <c r="N12" s="215"/>
      <c r="O12" s="215"/>
      <c r="P12" s="215"/>
      <c r="Q12" s="215"/>
      <c r="R12" s="215"/>
      <c r="S12" s="215"/>
      <c r="T12" s="215"/>
      <c r="U12" s="215"/>
      <c r="V12" s="215"/>
      <c r="W12" s="215"/>
      <c r="X12" s="215"/>
      <c r="Y12" s="215"/>
      <c r="Z12" s="215"/>
      <c r="AA12" s="215"/>
      <c r="AB12" s="339"/>
      <c r="AC12" s="215"/>
    </row>
    <row r="13" spans="1:31" ht="15">
      <c r="A13" s="215"/>
      <c r="B13" s="215"/>
      <c r="C13" s="215"/>
      <c r="D13" s="215"/>
      <c r="E13" s="215"/>
      <c r="F13" s="215"/>
      <c r="G13" s="215"/>
      <c r="H13" s="215"/>
      <c r="I13" s="215"/>
      <c r="J13" s="215"/>
      <c r="K13" s="215"/>
      <c r="L13" s="215"/>
      <c r="M13" s="215"/>
      <c r="N13" s="215"/>
      <c r="O13" s="215"/>
      <c r="P13" s="215"/>
      <c r="Q13" s="215"/>
      <c r="R13" s="215"/>
      <c r="S13" s="215"/>
      <c r="T13" s="215"/>
      <c r="U13" s="215"/>
      <c r="V13" s="215"/>
      <c r="W13" s="215"/>
      <c r="X13" s="215"/>
      <c r="Y13" s="215"/>
      <c r="Z13" s="215"/>
      <c r="AA13" s="215"/>
      <c r="AB13" s="215"/>
      <c r="AC13" s="215"/>
    </row>
    <row r="14" spans="1:31" ht="15">
      <c r="A14" s="115"/>
      <c r="B14" s="275" t="s">
        <v>990</v>
      </c>
      <c r="C14" s="115"/>
      <c r="D14" s="115"/>
      <c r="E14" s="115"/>
      <c r="F14" s="215"/>
      <c r="G14" s="215"/>
      <c r="H14" s="115"/>
      <c r="I14" s="115"/>
      <c r="J14" s="115"/>
      <c r="K14" s="115"/>
      <c r="L14" s="115"/>
      <c r="M14" s="115"/>
      <c r="N14" s="115">
        <v>7000</v>
      </c>
      <c r="O14" s="115">
        <v>24</v>
      </c>
      <c r="P14" s="115">
        <f>N14*O14</f>
        <v>168000</v>
      </c>
      <c r="Q14" s="115"/>
      <c r="R14" s="115"/>
      <c r="S14" s="200"/>
      <c r="T14" s="200"/>
      <c r="U14" s="200"/>
      <c r="V14" s="200"/>
      <c r="W14" s="200"/>
      <c r="X14" s="115"/>
      <c r="Y14" s="115"/>
      <c r="Z14" s="115"/>
      <c r="AA14" s="115"/>
      <c r="AB14" s="115"/>
      <c r="AC14" s="115"/>
    </row>
    <row r="15" spans="1:31" ht="15">
      <c r="A15" s="115"/>
      <c r="B15" s="275" t="s">
        <v>991</v>
      </c>
      <c r="C15" s="115"/>
      <c r="D15" s="115"/>
      <c r="E15" s="115"/>
      <c r="F15" s="215"/>
      <c r="G15" s="215"/>
      <c r="H15" s="115"/>
      <c r="I15" s="115"/>
      <c r="J15" s="115"/>
      <c r="K15" s="115"/>
      <c r="L15" s="115"/>
      <c r="M15" s="115"/>
      <c r="N15" s="115"/>
      <c r="O15" s="115"/>
      <c r="P15" s="115"/>
      <c r="Q15" s="115"/>
      <c r="R15" s="115"/>
      <c r="S15" s="200"/>
      <c r="T15" s="200"/>
      <c r="U15" s="200"/>
      <c r="V15" s="200"/>
      <c r="W15" s="200"/>
      <c r="X15" s="115"/>
      <c r="Y15" s="115"/>
      <c r="Z15" s="115"/>
      <c r="AA15" s="115"/>
      <c r="AB15" s="115"/>
      <c r="AC15" s="115"/>
    </row>
    <row r="16" spans="1:31" ht="15">
      <c r="A16" s="115"/>
      <c r="B16" s="339" t="s">
        <v>713</v>
      </c>
      <c r="C16" s="115"/>
      <c r="D16" s="115"/>
      <c r="E16" s="115"/>
      <c r="F16" s="215"/>
      <c r="G16" s="215"/>
      <c r="H16" s="115"/>
      <c r="I16" s="115"/>
      <c r="J16" s="115"/>
      <c r="K16" s="115"/>
      <c r="L16" s="115"/>
      <c r="M16" s="115"/>
      <c r="N16" s="115"/>
      <c r="O16" s="115"/>
      <c r="P16" s="115"/>
      <c r="Q16" s="115"/>
      <c r="R16" s="115"/>
      <c r="S16" s="200"/>
      <c r="T16" s="200"/>
      <c r="U16" s="200"/>
      <c r="V16" s="200"/>
      <c r="W16" s="200"/>
      <c r="X16" s="115"/>
      <c r="Y16" s="115"/>
      <c r="Z16" s="115"/>
      <c r="AA16" s="115"/>
      <c r="AB16" s="115"/>
      <c r="AC16" s="115"/>
    </row>
    <row r="20" spans="2:17">
      <c r="B20" s="332" t="s">
        <v>1232</v>
      </c>
      <c r="C20" s="333" t="s">
        <v>1223</v>
      </c>
      <c r="D20" s="332"/>
      <c r="E20" s="336">
        <v>55</v>
      </c>
      <c r="F20" s="332">
        <v>0</v>
      </c>
      <c r="G20" s="332" t="s">
        <v>1228</v>
      </c>
      <c r="H20" s="86" t="s">
        <v>1233</v>
      </c>
    </row>
    <row r="21" spans="2:17">
      <c r="B21" s="332"/>
      <c r="C21" s="333" t="s">
        <v>1224</v>
      </c>
      <c r="D21" s="332"/>
      <c r="E21" s="332">
        <v>42</v>
      </c>
      <c r="F21" s="332">
        <v>24</v>
      </c>
      <c r="G21" s="332" t="s">
        <v>1228</v>
      </c>
      <c r="H21" s="86"/>
    </row>
    <row r="22" spans="2:17">
      <c r="B22" s="332"/>
      <c r="C22" s="333" t="s">
        <v>1225</v>
      </c>
      <c r="D22" s="332"/>
      <c r="E22" s="336">
        <v>70</v>
      </c>
      <c r="F22" s="332">
        <v>32</v>
      </c>
      <c r="G22" s="332" t="s">
        <v>1227</v>
      </c>
      <c r="H22" s="341" t="s">
        <v>1233</v>
      </c>
      <c r="I22" t="s">
        <v>1252</v>
      </c>
    </row>
    <row r="23" spans="2:17" ht="15">
      <c r="B23" s="332"/>
      <c r="C23" s="333" t="s">
        <v>1226</v>
      </c>
      <c r="D23" s="332"/>
      <c r="E23" s="332">
        <v>55</v>
      </c>
      <c r="F23" s="332">
        <v>27</v>
      </c>
      <c r="G23" s="332" t="s">
        <v>1227</v>
      </c>
      <c r="H23" s="86"/>
      <c r="O23" s="206">
        <f>M23*N23</f>
        <v>0</v>
      </c>
      <c r="Q23">
        <f>P6</f>
        <v>100000</v>
      </c>
    </row>
    <row r="24" spans="2:17" ht="15">
      <c r="B24" s="332"/>
      <c r="C24" s="338" t="s">
        <v>1229</v>
      </c>
      <c r="D24" s="334"/>
      <c r="E24" s="332">
        <v>61</v>
      </c>
      <c r="F24" s="332">
        <v>26</v>
      </c>
      <c r="G24" s="332" t="s">
        <v>1230</v>
      </c>
      <c r="H24" s="341" t="s">
        <v>1233</v>
      </c>
      <c r="I24" t="s">
        <v>1252</v>
      </c>
      <c r="O24" s="206">
        <f>M24*N24</f>
        <v>0</v>
      </c>
      <c r="Q24">
        <f t="shared" ref="Q24:Q26" si="0">P7</f>
        <v>110000</v>
      </c>
    </row>
    <row r="25" spans="2:17" ht="15">
      <c r="B25" s="332"/>
      <c r="C25" s="340" t="s">
        <v>1231</v>
      </c>
      <c r="D25" s="334"/>
      <c r="E25" s="337">
        <v>59</v>
      </c>
      <c r="F25" s="335">
        <v>30</v>
      </c>
      <c r="G25" s="335" t="s">
        <v>1230</v>
      </c>
      <c r="H25" s="342" t="s">
        <v>1234</v>
      </c>
      <c r="I25" t="s">
        <v>1251</v>
      </c>
      <c r="O25" s="206">
        <f>M25*N25</f>
        <v>0</v>
      </c>
      <c r="Q25">
        <f t="shared" si="0"/>
        <v>80000</v>
      </c>
    </row>
    <row r="26" spans="2:17" ht="15">
      <c r="O26" s="206">
        <f>M26*N26</f>
        <v>0</v>
      </c>
      <c r="Q26">
        <f t="shared" si="0"/>
        <v>80000</v>
      </c>
    </row>
  </sheetData>
  <hyperlinks>
    <hyperlink ref="C25" r:id="rId1" xr:uid="{425AC3B3-2CDB-44F6-9F56-BE267C7DD37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80D56-A2F4-4D7C-830D-5CE6A4D44745}">
  <dimension ref="A1:W48"/>
  <sheetViews>
    <sheetView workbookViewId="0">
      <selection activeCell="K33" sqref="K33"/>
    </sheetView>
  </sheetViews>
  <sheetFormatPr defaultRowHeight="14.25"/>
  <cols>
    <col min="2" max="2" width="14" customWidth="1"/>
    <col min="5" max="5" width="13.125" customWidth="1"/>
    <col min="6" max="6" width="10.375" customWidth="1"/>
    <col min="7" max="7" width="7" customWidth="1"/>
    <col min="8" max="8" width="17" bestFit="1" customWidth="1"/>
    <col min="10" max="10" width="7.625" customWidth="1"/>
    <col min="11" max="11" width="11.75" customWidth="1"/>
    <col min="13" max="13" width="28" bestFit="1" customWidth="1"/>
    <col min="14" max="14" width="18.125" customWidth="1"/>
    <col min="15" max="15" width="15.625" customWidth="1"/>
    <col min="16" max="16" width="18.375" customWidth="1"/>
    <col min="17" max="17" width="13.75" customWidth="1"/>
    <col min="20" max="20" width="16.25" customWidth="1"/>
    <col min="22" max="22" width="11" customWidth="1"/>
  </cols>
  <sheetData>
    <row r="1" spans="1:18" ht="6.95" customHeight="1"/>
    <row r="2" spans="1:18" ht="24">
      <c r="A2" s="699" t="s">
        <v>2208</v>
      </c>
      <c r="B2" s="699"/>
      <c r="C2" s="699"/>
    </row>
    <row r="4" spans="1:18" ht="15">
      <c r="B4" s="303" t="s">
        <v>1109</v>
      </c>
    </row>
    <row r="5" spans="1:18" ht="15">
      <c r="B5" s="303" t="s">
        <v>1110</v>
      </c>
      <c r="C5" s="303" t="s">
        <v>1104</v>
      </c>
      <c r="D5" s="303" t="s">
        <v>1111</v>
      </c>
      <c r="E5" s="303" t="s">
        <v>789</v>
      </c>
      <c r="F5" s="303" t="s">
        <v>1108</v>
      </c>
      <c r="H5" s="304">
        <v>45627</v>
      </c>
      <c r="L5" s="360" t="s">
        <v>1306</v>
      </c>
      <c r="M5" s="361" t="s">
        <v>537</v>
      </c>
      <c r="N5" s="362" t="s">
        <v>1305</v>
      </c>
      <c r="O5" s="363" t="s">
        <v>1309</v>
      </c>
      <c r="P5" s="363" t="s">
        <v>1303</v>
      </c>
      <c r="Q5" s="364" t="s">
        <v>307</v>
      </c>
      <c r="R5" s="181"/>
    </row>
    <row r="6" spans="1:18" ht="15">
      <c r="B6" s="302">
        <v>625</v>
      </c>
      <c r="C6" s="301">
        <v>3</v>
      </c>
      <c r="D6" s="302">
        <f>B6*C6*12</f>
        <v>22500</v>
      </c>
      <c r="E6" s="302">
        <f>D6*90</f>
        <v>2025000</v>
      </c>
      <c r="F6" s="300" t="s">
        <v>1105</v>
      </c>
      <c r="H6" s="302" t="s">
        <v>1112</v>
      </c>
      <c r="I6" s="302">
        <v>45000</v>
      </c>
      <c r="L6" s="345" t="s">
        <v>1296</v>
      </c>
      <c r="M6" s="345" t="s">
        <v>1298</v>
      </c>
      <c r="N6" s="345" t="s">
        <v>1301</v>
      </c>
      <c r="O6" s="345" t="s">
        <v>1308</v>
      </c>
      <c r="P6" s="345"/>
      <c r="Q6" s="345"/>
    </row>
    <row r="7" spans="1:18" ht="15">
      <c r="B7" s="302">
        <v>1100</v>
      </c>
      <c r="C7" s="301">
        <v>1</v>
      </c>
      <c r="D7" s="302">
        <f>B7*C7*12</f>
        <v>13200</v>
      </c>
      <c r="E7" s="302">
        <f>D7*90</f>
        <v>1188000</v>
      </c>
      <c r="F7" s="300" t="s">
        <v>1107</v>
      </c>
      <c r="H7" s="302" t="s">
        <v>1113</v>
      </c>
      <c r="I7" s="302">
        <v>5000</v>
      </c>
      <c r="K7" s="86"/>
      <c r="L7" s="345" t="s">
        <v>1296</v>
      </c>
      <c r="M7" s="345" t="s">
        <v>1299</v>
      </c>
      <c r="N7" s="345" t="s">
        <v>1300</v>
      </c>
      <c r="O7" s="345" t="s">
        <v>1307</v>
      </c>
      <c r="P7" s="345"/>
      <c r="Q7" s="345"/>
    </row>
    <row r="8" spans="1:18" ht="15">
      <c r="B8" s="302">
        <v>1100</v>
      </c>
      <c r="C8" s="301">
        <v>10</v>
      </c>
      <c r="D8" s="302">
        <f>B8*C8*12</f>
        <v>132000</v>
      </c>
      <c r="E8" s="302">
        <f>D8*90</f>
        <v>11880000</v>
      </c>
      <c r="F8" s="300" t="s">
        <v>1106</v>
      </c>
      <c r="H8" s="302"/>
      <c r="I8" s="358">
        <f>I6+I7</f>
        <v>50000</v>
      </c>
      <c r="K8" s="86"/>
      <c r="L8" s="345" t="s">
        <v>1297</v>
      </c>
      <c r="M8" s="345" t="s">
        <v>1302</v>
      </c>
      <c r="N8" s="345" t="s">
        <v>1300</v>
      </c>
      <c r="O8" s="345"/>
      <c r="P8" s="345"/>
      <c r="Q8" s="345" t="s">
        <v>1304</v>
      </c>
    </row>
    <row r="9" spans="1:18" ht="15">
      <c r="B9" s="302">
        <v>1100</v>
      </c>
      <c r="C9" s="301" t="s">
        <v>1255</v>
      </c>
      <c r="D9" s="302">
        <f>B9*7</f>
        <v>7700</v>
      </c>
      <c r="E9" s="302">
        <f>D9*90</f>
        <v>693000</v>
      </c>
      <c r="F9" s="300"/>
      <c r="K9" s="359"/>
      <c r="L9" s="345"/>
      <c r="M9" s="345"/>
      <c r="N9" s="345"/>
      <c r="O9" s="345"/>
      <c r="P9" s="345"/>
      <c r="Q9" s="345"/>
    </row>
    <row r="10" spans="1:18" ht="15">
      <c r="B10" s="302">
        <v>1100</v>
      </c>
      <c r="C10" s="301">
        <v>1</v>
      </c>
      <c r="D10" s="302">
        <f t="shared" ref="D10" si="0">B10*C10*12</f>
        <v>13200</v>
      </c>
      <c r="E10" s="302">
        <f>D10*90</f>
        <v>1188000</v>
      </c>
      <c r="F10" s="300"/>
      <c r="H10" s="304">
        <v>45992</v>
      </c>
      <c r="K10" s="86"/>
      <c r="N10" s="119"/>
      <c r="O10" s="119"/>
      <c r="P10" s="119"/>
    </row>
    <row r="11" spans="1:18" ht="15">
      <c r="B11" s="302"/>
      <c r="C11" s="301"/>
      <c r="D11" s="302"/>
      <c r="E11" s="302">
        <f t="shared" ref="E11:E12" si="1">D11*90</f>
        <v>0</v>
      </c>
      <c r="F11" s="63"/>
      <c r="H11" s="302" t="s">
        <v>1112</v>
      </c>
      <c r="I11" s="302">
        <f>3500*12</f>
        <v>42000</v>
      </c>
      <c r="K11" s="86"/>
    </row>
    <row r="12" spans="1:18" ht="15">
      <c r="B12" s="302"/>
      <c r="C12" s="301"/>
      <c r="D12" s="302"/>
      <c r="E12" s="302">
        <f t="shared" si="1"/>
        <v>0</v>
      </c>
      <c r="F12" s="63"/>
      <c r="H12" s="302" t="s">
        <v>1113</v>
      </c>
      <c r="I12" s="302">
        <v>8000</v>
      </c>
      <c r="K12" s="86"/>
      <c r="L12" t="s">
        <v>1296</v>
      </c>
    </row>
    <row r="13" spans="1:18" ht="15">
      <c r="H13" s="302"/>
      <c r="I13" s="302">
        <f>I11+I12</f>
        <v>50000</v>
      </c>
      <c r="K13" s="86"/>
      <c r="N13" s="356" t="s">
        <v>1281</v>
      </c>
    </row>
    <row r="14" spans="1:18" ht="15">
      <c r="B14" s="356" t="s">
        <v>1281</v>
      </c>
      <c r="K14" s="86"/>
      <c r="N14" s="357" t="s">
        <v>1280</v>
      </c>
    </row>
    <row r="15" spans="1:18" ht="15">
      <c r="B15" s="357" t="s">
        <v>1280</v>
      </c>
      <c r="H15" s="304" t="s">
        <v>1256</v>
      </c>
      <c r="I15" s="358">
        <f>I8+I13</f>
        <v>100000</v>
      </c>
      <c r="K15" s="86"/>
      <c r="L15" s="86" t="s">
        <v>1294</v>
      </c>
      <c r="M15" s="86"/>
      <c r="N15" s="119"/>
      <c r="O15" s="119"/>
      <c r="P15" s="119"/>
    </row>
    <row r="16" spans="1:18" ht="15">
      <c r="K16" s="86">
        <v>1100</v>
      </c>
      <c r="L16" s="86">
        <v>700</v>
      </c>
      <c r="M16" s="86"/>
      <c r="N16" s="356" t="s">
        <v>1384</v>
      </c>
      <c r="O16" s="303" t="s">
        <v>783</v>
      </c>
      <c r="P16" s="303" t="s">
        <v>45</v>
      </c>
      <c r="Q16" s="303" t="s">
        <v>307</v>
      </c>
    </row>
    <row r="17" spans="2:22" ht="15">
      <c r="B17" s="356" t="s">
        <v>1283</v>
      </c>
      <c r="C17" s="63"/>
      <c r="D17" s="63"/>
      <c r="E17" s="63"/>
      <c r="F17" s="63"/>
      <c r="K17" s="86">
        <v>1100</v>
      </c>
      <c r="L17" s="86"/>
      <c r="M17" s="86"/>
      <c r="N17" s="345" t="s">
        <v>1278</v>
      </c>
      <c r="O17" s="302">
        <v>225000</v>
      </c>
      <c r="P17" s="345"/>
      <c r="Q17" s="63"/>
    </row>
    <row r="18" spans="2:22" ht="15">
      <c r="B18" s="345" t="s">
        <v>1278</v>
      </c>
      <c r="C18" s="302">
        <v>180000</v>
      </c>
      <c r="D18" s="358">
        <v>200000</v>
      </c>
      <c r="E18" s="302">
        <v>230000</v>
      </c>
      <c r="F18" s="302">
        <v>250000</v>
      </c>
      <c r="K18" s="86"/>
      <c r="L18" s="86"/>
      <c r="M18" s="86"/>
      <c r="N18" s="345" t="s">
        <v>1385</v>
      </c>
      <c r="O18" s="302">
        <f>O17*0.07</f>
        <v>15750.000000000002</v>
      </c>
      <c r="P18" s="392">
        <f>O18</f>
        <v>15750.000000000002</v>
      </c>
      <c r="Q18" s="63"/>
    </row>
    <row r="19" spans="2:22" ht="15">
      <c r="B19" s="345" t="s">
        <v>1279</v>
      </c>
      <c r="C19" s="302">
        <f t="shared" ref="C19" si="2">C18*1.14</f>
        <v>205199.99999999997</v>
      </c>
      <c r="D19" s="358">
        <f>D18*1.14</f>
        <v>227999.99999999997</v>
      </c>
      <c r="E19" s="302">
        <f>E18*1.132</f>
        <v>260359.99999999997</v>
      </c>
      <c r="F19" s="302">
        <f>F18*1.12</f>
        <v>280000</v>
      </c>
      <c r="K19" s="86"/>
      <c r="L19" s="86"/>
      <c r="M19" s="86"/>
      <c r="N19" s="345" t="s">
        <v>1386</v>
      </c>
      <c r="O19" s="302">
        <v>12167</v>
      </c>
      <c r="P19" s="345"/>
      <c r="Q19" s="63"/>
    </row>
    <row r="20" spans="2:22" ht="15">
      <c r="B20" s="345" t="s">
        <v>1114</v>
      </c>
      <c r="C20" s="302">
        <v>60000</v>
      </c>
      <c r="D20" s="358">
        <v>60000</v>
      </c>
      <c r="E20" s="302">
        <v>60000</v>
      </c>
      <c r="F20" s="302">
        <v>60000</v>
      </c>
      <c r="K20" s="86"/>
      <c r="L20" s="86"/>
      <c r="M20" s="86"/>
      <c r="N20" s="345" t="s">
        <v>1387</v>
      </c>
      <c r="O20" s="391">
        <f>O17+O18+O19</f>
        <v>252917</v>
      </c>
      <c r="P20" s="345"/>
      <c r="Q20" s="63"/>
    </row>
    <row r="21" spans="2:22" ht="15">
      <c r="B21" s="345" t="s">
        <v>45</v>
      </c>
      <c r="C21" s="302">
        <f>C19-C20</f>
        <v>145199.99999999997</v>
      </c>
      <c r="D21" s="358">
        <f>D19-D20</f>
        <v>167999.99999999997</v>
      </c>
      <c r="E21" s="302">
        <f>E19-E20</f>
        <v>200359.99999999997</v>
      </c>
      <c r="F21" s="302">
        <f>F19-F20</f>
        <v>220000</v>
      </c>
      <c r="K21" s="86" t="s">
        <v>1295</v>
      </c>
      <c r="L21" s="86" t="s">
        <v>1294</v>
      </c>
      <c r="M21" s="86"/>
      <c r="N21" s="345"/>
      <c r="O21" s="302"/>
      <c r="P21" s="345"/>
      <c r="Q21" s="63"/>
      <c r="T21">
        <v>878</v>
      </c>
      <c r="U21">
        <f>T21*90</f>
        <v>79020</v>
      </c>
    </row>
    <row r="22" spans="2:22" ht="15">
      <c r="B22" s="345" t="s">
        <v>1282</v>
      </c>
      <c r="C22" s="302">
        <v>961</v>
      </c>
      <c r="D22" s="358">
        <v>1100</v>
      </c>
      <c r="E22" s="302">
        <v>1330</v>
      </c>
      <c r="F22" s="302">
        <v>1460</v>
      </c>
      <c r="K22" s="86"/>
      <c r="L22" s="86">
        <v>700</v>
      </c>
      <c r="M22" s="86"/>
      <c r="N22" s="345" t="s">
        <v>1388</v>
      </c>
      <c r="O22" s="302">
        <v>22500</v>
      </c>
      <c r="P22" s="345" t="s">
        <v>1390</v>
      </c>
      <c r="Q22" s="345"/>
      <c r="T22">
        <v>767</v>
      </c>
      <c r="U22">
        <f>T22*90</f>
        <v>69030</v>
      </c>
    </row>
    <row r="23" spans="2:22" ht="15">
      <c r="B23" s="345" t="s">
        <v>1285</v>
      </c>
      <c r="C23" s="302">
        <v>28000</v>
      </c>
      <c r="D23" s="358">
        <v>32000</v>
      </c>
      <c r="E23" s="302">
        <v>38000</v>
      </c>
      <c r="F23" s="302">
        <v>42000</v>
      </c>
      <c r="K23" s="86"/>
      <c r="L23" s="86"/>
      <c r="M23" s="86"/>
      <c r="N23" s="345" t="s">
        <v>1389</v>
      </c>
      <c r="O23" s="302">
        <v>8167</v>
      </c>
      <c r="P23" s="392">
        <v>4000</v>
      </c>
      <c r="Q23" s="345"/>
      <c r="T23">
        <f>T21-T22</f>
        <v>111</v>
      </c>
    </row>
    <row r="24" spans="2:22" ht="15">
      <c r="H24" s="305"/>
      <c r="K24" s="86"/>
      <c r="L24" s="86"/>
      <c r="M24" s="86"/>
      <c r="N24" s="345"/>
      <c r="O24" s="302"/>
      <c r="P24" s="345"/>
      <c r="Q24" s="345"/>
    </row>
    <row r="25" spans="2:22" ht="15">
      <c r="H25" s="305"/>
      <c r="K25" s="86"/>
      <c r="L25" s="86"/>
      <c r="M25" s="86"/>
      <c r="N25" s="395" t="s">
        <v>1392</v>
      </c>
      <c r="O25" s="63"/>
      <c r="P25" s="63"/>
      <c r="Q25" s="345"/>
    </row>
    <row r="26" spans="2:22" ht="15">
      <c r="B26" s="356" t="s">
        <v>1284</v>
      </c>
      <c r="C26" s="63"/>
      <c r="D26" s="63"/>
      <c r="E26" s="63"/>
      <c r="F26" s="63"/>
      <c r="H26" s="356" t="s">
        <v>1284</v>
      </c>
      <c r="K26" s="86" t="s">
        <v>612</v>
      </c>
      <c r="L26" s="86">
        <v>1100</v>
      </c>
      <c r="M26" s="86" t="s">
        <v>68</v>
      </c>
      <c r="N26" s="345" t="s">
        <v>1391</v>
      </c>
      <c r="O26" s="302">
        <f>0.9*O17</f>
        <v>202500</v>
      </c>
      <c r="P26" s="697" t="s">
        <v>1411</v>
      </c>
      <c r="Q26" s="698"/>
      <c r="R26" s="345" t="s">
        <v>1416</v>
      </c>
      <c r="T26" s="345" t="s">
        <v>1405</v>
      </c>
      <c r="U26" s="345">
        <v>100</v>
      </c>
      <c r="V26" s="345" t="s">
        <v>1406</v>
      </c>
    </row>
    <row r="27" spans="2:22" ht="15">
      <c r="B27" s="345" t="s">
        <v>1278</v>
      </c>
      <c r="C27" s="302">
        <v>180000</v>
      </c>
      <c r="D27" s="302">
        <v>200000</v>
      </c>
      <c r="E27" s="358">
        <v>230000</v>
      </c>
      <c r="F27" s="302">
        <v>250000</v>
      </c>
      <c r="H27" s="345" t="s">
        <v>1278</v>
      </c>
      <c r="I27">
        <v>200000</v>
      </c>
      <c r="K27" s="86"/>
      <c r="L27" s="86">
        <v>700</v>
      </c>
      <c r="M27" s="86" t="s">
        <v>1294</v>
      </c>
      <c r="N27" s="345" t="s">
        <v>43</v>
      </c>
      <c r="O27" s="302">
        <v>800</v>
      </c>
      <c r="P27" s="302">
        <f>O27-P28</f>
        <v>562.38055555555559</v>
      </c>
      <c r="Q27" s="345" t="s">
        <v>1412</v>
      </c>
      <c r="R27" s="416">
        <f>P27/O27*100</f>
        <v>70.297569444444449</v>
      </c>
      <c r="T27" s="345" t="s">
        <v>1413</v>
      </c>
      <c r="U27" s="345">
        <v>50</v>
      </c>
      <c r="V27" s="345"/>
    </row>
    <row r="28" spans="2:22" ht="15">
      <c r="B28" s="345" t="s">
        <v>1279</v>
      </c>
      <c r="C28" s="302">
        <f t="shared" ref="C28" si="3">C27*1.14</f>
        <v>205199.99999999997</v>
      </c>
      <c r="D28" s="302">
        <f>D27*1.14</f>
        <v>227999.99999999997</v>
      </c>
      <c r="E28" s="358">
        <f>E27*1.132</f>
        <v>260359.99999999997</v>
      </c>
      <c r="F28" s="302">
        <f>F27*1.12</f>
        <v>280000</v>
      </c>
      <c r="H28" s="345" t="s">
        <v>1279</v>
      </c>
      <c r="L28" s="86">
        <v>400</v>
      </c>
      <c r="M28" t="s">
        <v>988</v>
      </c>
      <c r="N28" s="345" t="s">
        <v>176</v>
      </c>
      <c r="O28" s="302">
        <v>85543</v>
      </c>
      <c r="P28" s="302">
        <f>O28/12/30</f>
        <v>237.61944444444444</v>
      </c>
      <c r="Q28" s="345" t="s">
        <v>1393</v>
      </c>
      <c r="R28" s="416">
        <f>P28/O27*100</f>
        <v>29.702430555555555</v>
      </c>
      <c r="T28" s="345" t="s">
        <v>1407</v>
      </c>
      <c r="U28" s="345">
        <f>300/12</f>
        <v>25</v>
      </c>
      <c r="V28" s="345"/>
    </row>
    <row r="29" spans="2:22" ht="15">
      <c r="B29" s="345" t="s">
        <v>1114</v>
      </c>
      <c r="C29" s="302">
        <v>100000</v>
      </c>
      <c r="D29" s="302">
        <v>100000</v>
      </c>
      <c r="E29" s="358">
        <v>100000</v>
      </c>
      <c r="F29" s="302">
        <v>100000</v>
      </c>
      <c r="H29" s="345" t="s">
        <v>1114</v>
      </c>
      <c r="N29" s="63"/>
      <c r="O29" s="302"/>
      <c r="P29" s="302">
        <f>P27+P28</f>
        <v>800</v>
      </c>
      <c r="Q29" s="345"/>
      <c r="R29" s="345"/>
      <c r="T29" s="345" t="s">
        <v>1408</v>
      </c>
      <c r="U29" s="415">
        <f>O27+U27+U28+U26</f>
        <v>975</v>
      </c>
      <c r="V29" s="345"/>
    </row>
    <row r="30" spans="2:22" ht="15">
      <c r="B30" s="345" t="s">
        <v>45</v>
      </c>
      <c r="C30" s="302">
        <f>C19-C29</f>
        <v>105199.99999999997</v>
      </c>
      <c r="D30" s="302">
        <f>D19-D29</f>
        <v>127999.99999999997</v>
      </c>
      <c r="E30" s="358">
        <f>E19-E29</f>
        <v>160359.99999999997</v>
      </c>
      <c r="F30" s="302">
        <f>F19-F29</f>
        <v>180000</v>
      </c>
      <c r="H30" s="345" t="s">
        <v>45</v>
      </c>
      <c r="T30" s="345" t="s">
        <v>1414</v>
      </c>
      <c r="U30" s="345">
        <f>U29*90</f>
        <v>87750</v>
      </c>
      <c r="V30" s="345"/>
    </row>
    <row r="31" spans="2:22" ht="15">
      <c r="B31" s="345" t="s">
        <v>1282</v>
      </c>
      <c r="C31" s="302">
        <v>700</v>
      </c>
      <c r="D31" s="302">
        <v>850</v>
      </c>
      <c r="E31" s="358">
        <v>1060</v>
      </c>
      <c r="F31" s="302">
        <v>1200</v>
      </c>
      <c r="H31" s="345" t="s">
        <v>1282</v>
      </c>
    </row>
    <row r="32" spans="2:22" ht="15">
      <c r="B32" s="345" t="s">
        <v>1285</v>
      </c>
      <c r="C32" s="302">
        <v>20000</v>
      </c>
      <c r="D32" s="302">
        <v>24500</v>
      </c>
      <c r="E32" s="358">
        <v>31000</v>
      </c>
      <c r="F32" s="302">
        <v>34500</v>
      </c>
      <c r="H32" s="345" t="s">
        <v>1285</v>
      </c>
      <c r="N32" s="395" t="s">
        <v>1409</v>
      </c>
      <c r="O32" s="63"/>
      <c r="P32" s="63"/>
      <c r="Q32" s="345"/>
    </row>
    <row r="33" spans="2:23" ht="15">
      <c r="N33" s="345" t="s">
        <v>1391</v>
      </c>
      <c r="O33" s="302">
        <f>0.9*O17</f>
        <v>202500</v>
      </c>
      <c r="P33" s="697" t="s">
        <v>1410</v>
      </c>
      <c r="Q33" s="698"/>
      <c r="R33" s="345" t="s">
        <v>1416</v>
      </c>
      <c r="T33" s="345" t="s">
        <v>1405</v>
      </c>
      <c r="U33" s="345">
        <v>100</v>
      </c>
      <c r="V33" s="345" t="s">
        <v>1406</v>
      </c>
    </row>
    <row r="34" spans="2:23" ht="15">
      <c r="B34" s="345" t="s">
        <v>68</v>
      </c>
      <c r="C34" s="345">
        <f>1100*12</f>
        <v>13200</v>
      </c>
      <c r="N34" s="345" t="s">
        <v>43</v>
      </c>
      <c r="O34" s="302">
        <v>878</v>
      </c>
      <c r="P34" s="302">
        <f>O34-P35</f>
        <v>708.7</v>
      </c>
      <c r="Q34" s="345" t="s">
        <v>1412</v>
      </c>
      <c r="R34" s="416">
        <f>P34/O34*100</f>
        <v>80.717539863325754</v>
      </c>
      <c r="T34" s="345" t="s">
        <v>1413</v>
      </c>
      <c r="U34" s="345">
        <v>50</v>
      </c>
      <c r="V34" s="345"/>
    </row>
    <row r="35" spans="2:23" ht="15">
      <c r="N35" s="345" t="s">
        <v>176</v>
      </c>
      <c r="O35" s="302">
        <v>60948</v>
      </c>
      <c r="P35" s="302">
        <f>O35/12/30</f>
        <v>169.3</v>
      </c>
      <c r="Q35" s="345" t="s">
        <v>1393</v>
      </c>
      <c r="R35" s="416">
        <f>P35/O34*100</f>
        <v>19.282460136674263</v>
      </c>
      <c r="T35" s="345" t="s">
        <v>1407</v>
      </c>
      <c r="U35" s="345">
        <f>300/12</f>
        <v>25</v>
      </c>
      <c r="V35" s="345"/>
    </row>
    <row r="36" spans="2:23" ht="15">
      <c r="B36" s="345" t="s">
        <v>1286</v>
      </c>
      <c r="C36" s="345"/>
      <c r="D36" s="345" t="s">
        <v>1288</v>
      </c>
      <c r="E36" s="345"/>
      <c r="N36" s="345" t="s">
        <v>1415</v>
      </c>
      <c r="O36" s="302"/>
      <c r="P36" s="302">
        <f>P34+P35</f>
        <v>878</v>
      </c>
      <c r="Q36" s="345"/>
      <c r="R36" s="345"/>
      <c r="T36" s="345" t="s">
        <v>1408</v>
      </c>
      <c r="U36" s="415">
        <f>O34+U33+U34+U35</f>
        <v>1053</v>
      </c>
      <c r="V36" s="345"/>
      <c r="W36" s="394">
        <f>U36-U29</f>
        <v>78</v>
      </c>
    </row>
    <row r="37" spans="2:23" ht="15">
      <c r="B37" s="345" t="s">
        <v>1287</v>
      </c>
      <c r="C37" s="345"/>
      <c r="D37" s="345"/>
      <c r="E37" s="345" t="s">
        <v>1289</v>
      </c>
      <c r="T37" s="345" t="s">
        <v>1414</v>
      </c>
      <c r="U37" s="345">
        <f>U36*90</f>
        <v>94770</v>
      </c>
      <c r="V37" s="345"/>
    </row>
    <row r="38" spans="2:23">
      <c r="K38">
        <f>300/12</f>
        <v>25</v>
      </c>
      <c r="O38" s="394"/>
    </row>
    <row r="39" spans="2:23" ht="15">
      <c r="N39" s="396" t="s">
        <v>1394</v>
      </c>
      <c r="O39" s="302">
        <v>5000</v>
      </c>
      <c r="P39" s="345" t="s">
        <v>1399</v>
      </c>
      <c r="Q39">
        <f>3466+1500</f>
        <v>4966</v>
      </c>
      <c r="U39" s="394"/>
    </row>
    <row r="40" spans="2:23" ht="15">
      <c r="B40" s="63" t="s">
        <v>1290</v>
      </c>
      <c r="C40" s="63"/>
      <c r="D40" s="63">
        <v>0</v>
      </c>
      <c r="N40" s="345" t="s">
        <v>1395</v>
      </c>
      <c r="O40" s="302">
        <f>O39+3500</f>
        <v>8500</v>
      </c>
      <c r="P40" s="345" t="s">
        <v>1399</v>
      </c>
    </row>
    <row r="41" spans="2:23" ht="15">
      <c r="B41" s="345" t="s">
        <v>1291</v>
      </c>
      <c r="C41" s="302"/>
      <c r="D41" s="345" t="s">
        <v>1292</v>
      </c>
      <c r="N41" s="345" t="s">
        <v>1396</v>
      </c>
      <c r="O41" s="302">
        <f>P18+P23</f>
        <v>19750</v>
      </c>
      <c r="P41" s="345"/>
    </row>
    <row r="42" spans="2:23" ht="15">
      <c r="B42" s="305"/>
      <c r="C42" s="305"/>
      <c r="D42" s="305" t="s">
        <v>1293</v>
      </c>
      <c r="N42" s="345" t="s">
        <v>45</v>
      </c>
      <c r="O42" s="397">
        <f>O41-O40</f>
        <v>11250</v>
      </c>
      <c r="P42" s="363" t="s">
        <v>1398</v>
      </c>
      <c r="Q42" s="398" t="s">
        <v>537</v>
      </c>
    </row>
    <row r="43" spans="2:23" ht="15">
      <c r="B43" s="305"/>
      <c r="C43" s="305"/>
      <c r="D43" s="305"/>
      <c r="N43" s="302"/>
      <c r="O43" s="302"/>
      <c r="P43" s="345"/>
      <c r="Q43" s="390" t="s">
        <v>1402</v>
      </c>
    </row>
    <row r="44" spans="2:23" ht="15">
      <c r="B44" s="305"/>
      <c r="C44" s="305"/>
      <c r="D44" s="305"/>
      <c r="N44" s="393" t="s">
        <v>1397</v>
      </c>
      <c r="O44" s="302">
        <v>5000</v>
      </c>
      <c r="P44" s="345"/>
      <c r="Q44" s="390" t="s">
        <v>1403</v>
      </c>
    </row>
    <row r="45" spans="2:23" ht="15">
      <c r="B45" s="305"/>
      <c r="C45" s="305"/>
      <c r="D45" s="305"/>
      <c r="N45" s="345" t="s">
        <v>1396</v>
      </c>
      <c r="O45" s="302">
        <f>O42+O44</f>
        <v>16250</v>
      </c>
      <c r="P45" s="345"/>
      <c r="Q45" s="390" t="s">
        <v>1400</v>
      </c>
    </row>
    <row r="46" spans="2:23" ht="15">
      <c r="B46" s="305"/>
      <c r="C46" s="305"/>
      <c r="D46" s="305"/>
      <c r="Q46" s="390" t="s">
        <v>1401</v>
      </c>
    </row>
    <row r="47" spans="2:23" ht="15">
      <c r="N47" s="357"/>
      <c r="O47">
        <v>16000</v>
      </c>
      <c r="Q47" s="399" t="s">
        <v>908</v>
      </c>
    </row>
    <row r="48" spans="2:23" ht="15">
      <c r="Q48" s="399" t="s">
        <v>1404</v>
      </c>
    </row>
  </sheetData>
  <mergeCells count="3">
    <mergeCell ref="P26:Q26"/>
    <mergeCell ref="P33:Q33"/>
    <mergeCell ref="A2:C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08"/>
  <sheetViews>
    <sheetView topLeftCell="A3" zoomScaleNormal="100" workbookViewId="0">
      <selection activeCell="I33" sqref="I33"/>
    </sheetView>
  </sheetViews>
  <sheetFormatPr defaultColWidth="8.875" defaultRowHeight="14.25"/>
  <cols>
    <col min="1" max="1" width="15.875" customWidth="1"/>
    <col min="2" max="2" width="13.625" customWidth="1"/>
    <col min="3" max="3" width="17" customWidth="1"/>
    <col min="4" max="4" width="27.625" customWidth="1"/>
    <col min="5" max="5" width="13" customWidth="1"/>
    <col min="6" max="6" width="18.125" customWidth="1"/>
    <col min="7" max="7" width="13.375" customWidth="1"/>
    <col min="8" max="8" width="7.625" customWidth="1"/>
    <col min="9" max="9" width="6" customWidth="1"/>
    <col min="10" max="10" width="11.5" customWidth="1"/>
    <col min="11" max="11" width="14.375" style="73" bestFit="1" customWidth="1"/>
    <col min="12" max="12" width="14.375" bestFit="1" customWidth="1"/>
    <col min="13" max="13" width="7.875" bestFit="1" customWidth="1"/>
  </cols>
  <sheetData>
    <row r="1" spans="1:15">
      <c r="A1" s="12" t="s">
        <v>64</v>
      </c>
      <c r="B1" s="142" t="s">
        <v>63</v>
      </c>
      <c r="C1" s="13"/>
      <c r="D1" s="14"/>
      <c r="E1" s="15"/>
      <c r="F1" s="2"/>
      <c r="G1" s="2"/>
      <c r="H1" s="15"/>
      <c r="I1" s="20" t="s">
        <v>261</v>
      </c>
      <c r="J1" s="20"/>
      <c r="K1" s="20"/>
      <c r="L1" s="20"/>
      <c r="M1" s="2"/>
      <c r="N1" s="2"/>
      <c r="O1" s="2"/>
    </row>
    <row r="2" spans="1:15">
      <c r="A2" s="16" t="s">
        <v>65</v>
      </c>
      <c r="B2" s="17"/>
      <c r="C2" s="17"/>
      <c r="D2" s="17"/>
      <c r="E2" s="15"/>
      <c r="F2" s="19" t="s">
        <v>66</v>
      </c>
      <c r="G2" s="19" t="s">
        <v>67</v>
      </c>
      <c r="H2" s="15"/>
      <c r="I2" s="20" t="s">
        <v>19</v>
      </c>
      <c r="J2" s="20" t="s">
        <v>68</v>
      </c>
      <c r="K2" s="20" t="s">
        <v>262</v>
      </c>
      <c r="L2" s="20" t="s">
        <v>299</v>
      </c>
      <c r="M2" s="2"/>
      <c r="N2" s="2"/>
      <c r="O2" s="2"/>
    </row>
    <row r="3" spans="1:15">
      <c r="A3" s="16" t="s">
        <v>331</v>
      </c>
      <c r="B3" s="90">
        <v>57168</v>
      </c>
      <c r="C3" s="21" t="s">
        <v>69</v>
      </c>
      <c r="D3" s="22" t="s">
        <v>70</v>
      </c>
      <c r="E3" s="15"/>
      <c r="F3" s="23" t="s">
        <v>71</v>
      </c>
      <c r="G3" s="23">
        <v>2224500</v>
      </c>
      <c r="H3" s="15"/>
      <c r="I3" s="24" t="s">
        <v>72</v>
      </c>
      <c r="J3" s="24">
        <v>25000</v>
      </c>
      <c r="K3" s="24" t="s">
        <v>263</v>
      </c>
      <c r="L3" s="24" t="s">
        <v>300</v>
      </c>
      <c r="M3" s="2"/>
      <c r="N3" s="2"/>
      <c r="O3" s="2"/>
    </row>
    <row r="4" spans="1:15">
      <c r="A4" s="16" t="s">
        <v>73</v>
      </c>
      <c r="B4" s="25">
        <f>B3*12</f>
        <v>686016</v>
      </c>
      <c r="C4" s="21">
        <f>B4*0.4</f>
        <v>274406.40000000002</v>
      </c>
      <c r="D4" s="22">
        <f>B4*0.1</f>
        <v>68601.600000000006</v>
      </c>
      <c r="E4" s="15"/>
      <c r="F4" s="23" t="s">
        <v>74</v>
      </c>
      <c r="G4" s="23">
        <f>B14</f>
        <v>267398.40000000002</v>
      </c>
      <c r="H4" s="15"/>
      <c r="I4" s="24" t="s">
        <v>75</v>
      </c>
      <c r="J4" s="24">
        <v>40000</v>
      </c>
      <c r="K4" s="24" t="s">
        <v>263</v>
      </c>
      <c r="L4" s="24" t="s">
        <v>300</v>
      </c>
      <c r="M4" s="2"/>
      <c r="N4" s="2"/>
      <c r="O4" s="2"/>
    </row>
    <row r="5" spans="1:15">
      <c r="A5" s="16" t="s">
        <v>76</v>
      </c>
      <c r="B5" s="25">
        <f>C4</f>
        <v>274406.40000000002</v>
      </c>
      <c r="C5" s="21"/>
      <c r="D5" s="22"/>
      <c r="E5" s="15"/>
      <c r="F5" s="23" t="s">
        <v>77</v>
      </c>
      <c r="G5" s="23">
        <f>B58</f>
        <v>177396</v>
      </c>
      <c r="H5" s="15"/>
      <c r="I5" s="24" t="s">
        <v>78</v>
      </c>
      <c r="J5" s="24">
        <v>40000</v>
      </c>
      <c r="K5" s="24" t="s">
        <v>302</v>
      </c>
      <c r="L5" s="24" t="s">
        <v>300</v>
      </c>
      <c r="M5" s="18" t="s">
        <v>303</v>
      </c>
      <c r="N5" s="2"/>
      <c r="O5" s="2"/>
    </row>
    <row r="6" spans="1:15">
      <c r="A6" s="16" t="s">
        <v>68</v>
      </c>
      <c r="B6" s="25">
        <f>B7*12</f>
        <v>336000</v>
      </c>
      <c r="C6" s="21" t="s">
        <v>79</v>
      </c>
      <c r="D6" s="22">
        <f>B6-D4</f>
        <v>267398.40000000002</v>
      </c>
      <c r="E6" s="15"/>
      <c r="F6" s="23" t="s">
        <v>80</v>
      </c>
      <c r="G6" s="23">
        <f>B36</f>
        <v>183600</v>
      </c>
      <c r="I6" s="24" t="s">
        <v>81</v>
      </c>
      <c r="J6" s="24">
        <v>28000</v>
      </c>
      <c r="K6" s="24" t="s">
        <v>264</v>
      </c>
      <c r="L6" s="24" t="s">
        <v>300</v>
      </c>
      <c r="M6" s="2"/>
      <c r="N6" s="2"/>
      <c r="O6" s="2"/>
    </row>
    <row r="7" spans="1:15">
      <c r="A7" s="16" t="s">
        <v>82</v>
      </c>
      <c r="B7" s="90">
        <v>28000</v>
      </c>
      <c r="C7" s="26"/>
      <c r="D7" s="27"/>
      <c r="E7" s="15"/>
      <c r="F7" s="23" t="s">
        <v>83</v>
      </c>
      <c r="G7" s="23">
        <f>G3-G4-G5-G6</f>
        <v>1596105.6</v>
      </c>
      <c r="I7" s="24" t="s">
        <v>425</v>
      </c>
      <c r="J7" s="24">
        <v>28000</v>
      </c>
      <c r="K7" s="24" t="s">
        <v>264</v>
      </c>
      <c r="L7" s="24" t="s">
        <v>300</v>
      </c>
      <c r="M7" s="2"/>
      <c r="N7" s="2"/>
      <c r="O7" s="2"/>
    </row>
    <row r="8" spans="1:15">
      <c r="A8" s="16"/>
      <c r="B8" s="25"/>
      <c r="C8" s="17"/>
      <c r="D8" s="18"/>
      <c r="E8" s="15"/>
      <c r="F8" s="2"/>
      <c r="G8" s="2"/>
      <c r="I8" s="2"/>
      <c r="J8" s="2"/>
      <c r="K8" s="28"/>
      <c r="L8" s="2"/>
      <c r="M8" s="2"/>
      <c r="N8" s="2"/>
      <c r="O8" s="2"/>
    </row>
    <row r="9" spans="1:15" ht="15" thickBot="1">
      <c r="A9" s="16" t="s">
        <v>84</v>
      </c>
      <c r="B9" s="25"/>
      <c r="C9" s="17"/>
      <c r="D9" s="18"/>
      <c r="E9" s="15"/>
      <c r="F9" s="15"/>
      <c r="G9" s="28"/>
      <c r="H9" s="2"/>
      <c r="I9" s="2"/>
      <c r="J9" s="2"/>
      <c r="M9" s="76" t="s">
        <v>246</v>
      </c>
      <c r="N9" s="25"/>
      <c r="O9" s="25"/>
    </row>
    <row r="10" spans="1:15">
      <c r="A10" s="16" t="s">
        <v>85</v>
      </c>
      <c r="B10" s="25">
        <f>C4</f>
        <v>274406.40000000002</v>
      </c>
      <c r="C10" s="17"/>
      <c r="D10" s="18"/>
      <c r="E10" s="15"/>
      <c r="F10" s="145" t="s">
        <v>86</v>
      </c>
      <c r="G10" s="155" t="s">
        <v>514</v>
      </c>
      <c r="H10" s="147"/>
      <c r="I10" s="2"/>
      <c r="J10" s="145" t="s">
        <v>86</v>
      </c>
      <c r="K10" s="146" t="s">
        <v>516</v>
      </c>
      <c r="L10" s="147"/>
      <c r="M10" s="76" t="s">
        <v>251</v>
      </c>
      <c r="N10" s="25"/>
      <c r="O10" s="25"/>
    </row>
    <row r="11" spans="1:15">
      <c r="A11" s="16" t="s">
        <v>76</v>
      </c>
      <c r="B11" s="25">
        <f>B5</f>
        <v>274406.40000000002</v>
      </c>
      <c r="C11" s="17"/>
      <c r="D11" s="18"/>
      <c r="E11" s="15"/>
      <c r="F11" s="148" t="s">
        <v>87</v>
      </c>
      <c r="G11" s="30">
        <v>0</v>
      </c>
      <c r="H11" s="156"/>
      <c r="I11" s="2"/>
      <c r="J11" s="148"/>
      <c r="K11" s="30"/>
      <c r="L11" s="149"/>
      <c r="M11" s="17" t="s">
        <v>252</v>
      </c>
      <c r="N11" s="25" t="s">
        <v>253</v>
      </c>
      <c r="O11" s="25"/>
    </row>
    <row r="12" spans="1:15">
      <c r="A12" s="16" t="s">
        <v>88</v>
      </c>
      <c r="B12" s="34">
        <f>D6</f>
        <v>267398.40000000002</v>
      </c>
      <c r="C12" s="21" t="s">
        <v>349</v>
      </c>
      <c r="D12" s="18"/>
      <c r="E12" s="15"/>
      <c r="F12" s="148" t="s">
        <v>89</v>
      </c>
      <c r="G12" s="30">
        <v>5</v>
      </c>
      <c r="H12" s="149">
        <v>25000</v>
      </c>
      <c r="I12" s="2"/>
      <c r="J12" s="148"/>
      <c r="K12" s="30"/>
      <c r="L12" s="149"/>
      <c r="M12" s="17" t="s">
        <v>254</v>
      </c>
      <c r="N12" s="74" t="s">
        <v>255</v>
      </c>
      <c r="O12" s="25"/>
    </row>
    <row r="13" spans="1:15">
      <c r="A13" s="16"/>
      <c r="B13" s="25"/>
      <c r="C13" s="17"/>
      <c r="D13" s="18"/>
      <c r="E13" s="15"/>
      <c r="F13" s="148" t="s">
        <v>90</v>
      </c>
      <c r="G13" s="30">
        <v>20</v>
      </c>
      <c r="H13" s="149"/>
      <c r="I13" s="2"/>
      <c r="J13" s="150" t="s">
        <v>94</v>
      </c>
      <c r="K13" s="143">
        <v>2100000</v>
      </c>
      <c r="L13" s="149" t="s">
        <v>519</v>
      </c>
      <c r="M13" s="17"/>
      <c r="N13" s="25"/>
      <c r="O13" s="25"/>
    </row>
    <row r="14" spans="1:15">
      <c r="A14" s="16" t="s">
        <v>91</v>
      </c>
      <c r="B14" s="90">
        <f>B12</f>
        <v>267398.40000000002</v>
      </c>
      <c r="C14" s="34" t="s">
        <v>92</v>
      </c>
      <c r="D14" s="32">
        <f>B14*0.3</f>
        <v>80219.520000000004</v>
      </c>
      <c r="E14" s="15"/>
      <c r="F14" s="148" t="s">
        <v>93</v>
      </c>
      <c r="G14" s="30">
        <v>30</v>
      </c>
      <c r="H14" s="156"/>
      <c r="I14" s="2"/>
      <c r="J14" s="148" t="s">
        <v>96</v>
      </c>
      <c r="K14" s="143">
        <v>2100000</v>
      </c>
      <c r="L14" s="149"/>
      <c r="M14" s="76" t="s">
        <v>247</v>
      </c>
      <c r="N14" s="34">
        <v>28000</v>
      </c>
      <c r="O14" s="25"/>
    </row>
    <row r="15" spans="1:15">
      <c r="A15" s="16"/>
      <c r="B15" s="17"/>
      <c r="C15" s="17"/>
      <c r="D15" s="18"/>
      <c r="E15" s="15"/>
      <c r="F15" s="157"/>
      <c r="G15" s="158"/>
      <c r="H15" s="159"/>
      <c r="I15" s="2"/>
      <c r="J15" s="148" t="s">
        <v>99</v>
      </c>
      <c r="K15" s="143">
        <v>0</v>
      </c>
      <c r="L15" s="151"/>
      <c r="M15" s="17" t="s">
        <v>248</v>
      </c>
      <c r="N15" s="25">
        <f>N14*12</f>
        <v>336000</v>
      </c>
      <c r="O15" s="25"/>
    </row>
    <row r="16" spans="1:15">
      <c r="A16" s="33"/>
      <c r="B16" s="26"/>
      <c r="C16" s="26"/>
      <c r="D16" s="18"/>
      <c r="E16" s="15"/>
      <c r="F16" s="150" t="s">
        <v>94</v>
      </c>
      <c r="G16" s="143">
        <v>2000000</v>
      </c>
      <c r="H16" s="149" t="s">
        <v>517</v>
      </c>
      <c r="I16" s="2"/>
      <c r="J16" s="148" t="s">
        <v>102</v>
      </c>
      <c r="K16" s="143">
        <f>250000*0.05</f>
        <v>12500</v>
      </c>
      <c r="L16" s="151"/>
      <c r="M16" s="17"/>
      <c r="N16" s="25"/>
      <c r="O16" s="25"/>
    </row>
    <row r="17" spans="1:15">
      <c r="A17" s="16" t="s">
        <v>95</v>
      </c>
      <c r="B17" s="34">
        <f>B7*12</f>
        <v>336000</v>
      </c>
      <c r="C17" s="26"/>
      <c r="D17" s="18"/>
      <c r="E17" s="15"/>
      <c r="F17" s="148" t="s">
        <v>96</v>
      </c>
      <c r="G17" s="143">
        <v>1400000</v>
      </c>
      <c r="H17" s="149" t="s">
        <v>518</v>
      </c>
      <c r="I17" s="2"/>
      <c r="J17" s="148" t="s">
        <v>520</v>
      </c>
      <c r="K17" s="143">
        <f>250000*0.1</f>
        <v>25000</v>
      </c>
      <c r="L17" s="151"/>
      <c r="M17" s="17" t="s">
        <v>249</v>
      </c>
      <c r="N17" s="25">
        <f>N15*0.3</f>
        <v>100800</v>
      </c>
      <c r="O17" s="25"/>
    </row>
    <row r="18" spans="1:15">
      <c r="A18" s="16" t="s">
        <v>98</v>
      </c>
      <c r="B18" s="25">
        <f>B17-250000</f>
        <v>86000</v>
      </c>
      <c r="C18" s="25"/>
      <c r="D18" s="35"/>
      <c r="E18" s="15"/>
      <c r="F18" s="148" t="s">
        <v>99</v>
      </c>
      <c r="G18" s="143">
        <v>0</v>
      </c>
      <c r="H18" s="151">
        <f>G17-250000</f>
        <v>1150000</v>
      </c>
      <c r="I18" s="2"/>
      <c r="J18" s="148" t="s">
        <v>521</v>
      </c>
      <c r="K18" s="143">
        <f>250000*0.15</f>
        <v>37500</v>
      </c>
      <c r="L18" s="149"/>
      <c r="M18" s="17"/>
      <c r="N18" s="17"/>
      <c r="O18" s="25"/>
    </row>
    <row r="19" spans="1:15">
      <c r="A19" s="16" t="s">
        <v>100</v>
      </c>
      <c r="B19" s="25">
        <f>0.1*B18</f>
        <v>8600</v>
      </c>
      <c r="C19" s="25" t="s">
        <v>101</v>
      </c>
      <c r="D19" s="32">
        <f>B19</f>
        <v>8600</v>
      </c>
      <c r="E19" s="15"/>
      <c r="F19" s="148" t="s">
        <v>102</v>
      </c>
      <c r="G19" s="143">
        <f>250000*0.05</f>
        <v>12500</v>
      </c>
      <c r="H19" s="151">
        <f>H18-250000</f>
        <v>900000</v>
      </c>
      <c r="I19" s="2"/>
      <c r="J19" s="148" t="s">
        <v>522</v>
      </c>
      <c r="K19" s="143">
        <f>250000*0.2</f>
        <v>50000</v>
      </c>
      <c r="L19" s="149"/>
      <c r="M19" s="17" t="s">
        <v>250</v>
      </c>
      <c r="N19" s="34">
        <f>N15-N17</f>
        <v>235200</v>
      </c>
      <c r="O19" s="25"/>
    </row>
    <row r="20" spans="1:15">
      <c r="A20" s="33"/>
      <c r="B20" s="26"/>
      <c r="C20" s="25"/>
      <c r="D20" s="18"/>
      <c r="E20" s="15"/>
      <c r="F20" s="148" t="s">
        <v>103</v>
      </c>
      <c r="G20" s="143">
        <f>500000*0.2</f>
        <v>100000</v>
      </c>
      <c r="H20" s="151">
        <f>H19-500000</f>
        <v>400000</v>
      </c>
      <c r="I20" s="2"/>
      <c r="J20" s="148" t="s">
        <v>523</v>
      </c>
      <c r="K20" s="143">
        <f>250000*0.25</f>
        <v>62500</v>
      </c>
      <c r="L20" s="149"/>
      <c r="M20" s="17" t="s">
        <v>350</v>
      </c>
      <c r="N20" s="34">
        <v>69895</v>
      </c>
      <c r="O20" s="25"/>
    </row>
    <row r="21" spans="1:15">
      <c r="A21" s="33"/>
      <c r="B21" s="26"/>
      <c r="C21" s="25" t="s">
        <v>104</v>
      </c>
      <c r="D21" s="91">
        <f>D14-D19</f>
        <v>71619.520000000004</v>
      </c>
      <c r="E21" s="15"/>
      <c r="F21" s="148" t="s">
        <v>515</v>
      </c>
      <c r="G21" s="143">
        <f>H20*0.3</f>
        <v>120000</v>
      </c>
      <c r="H21" s="149"/>
      <c r="I21" s="2"/>
      <c r="J21" s="148" t="s">
        <v>524</v>
      </c>
      <c r="K21" s="143">
        <f>(K14-1500000)*0.3</f>
        <v>180000</v>
      </c>
      <c r="L21" s="149"/>
      <c r="M21" s="76" t="s">
        <v>227</v>
      </c>
      <c r="N21" s="34">
        <f>N19+N20</f>
        <v>305095</v>
      </c>
      <c r="O21" s="25"/>
    </row>
    <row r="22" spans="1:15" ht="15" thickBot="1">
      <c r="A22" s="36"/>
      <c r="B22" s="37"/>
      <c r="C22" s="38"/>
      <c r="D22" s="39"/>
      <c r="E22" s="15"/>
      <c r="F22" s="152" t="s">
        <v>105</v>
      </c>
      <c r="G22" s="160">
        <f>G19+G20+G21</f>
        <v>232500</v>
      </c>
      <c r="H22" s="154"/>
      <c r="I22" s="2"/>
      <c r="J22" s="148" t="s">
        <v>105</v>
      </c>
      <c r="K22" s="144">
        <f>SUM(K15:K21)</f>
        <v>367500</v>
      </c>
      <c r="L22" s="151" t="s">
        <v>525</v>
      </c>
      <c r="M22" s="17" t="s">
        <v>83</v>
      </c>
      <c r="N22" s="25">
        <f>N19-300000</f>
        <v>-64800</v>
      </c>
      <c r="O22" s="25" t="s">
        <v>256</v>
      </c>
    </row>
    <row r="23" spans="1:15" ht="15" thickBot="1">
      <c r="D23" s="40"/>
      <c r="E23" s="40"/>
      <c r="I23" s="2"/>
      <c r="J23" s="152"/>
      <c r="K23" s="153"/>
      <c r="L23" s="154"/>
      <c r="M23" s="75" t="s">
        <v>255</v>
      </c>
      <c r="N23" s="25">
        <f>0.05*36000</f>
        <v>1800</v>
      </c>
      <c r="O23" s="25"/>
    </row>
    <row r="24" spans="1:15">
      <c r="A24" s="41" t="s">
        <v>424</v>
      </c>
      <c r="B24" s="42"/>
      <c r="C24" s="42"/>
      <c r="D24" s="43"/>
      <c r="E24" s="44"/>
      <c r="F24" s="29" t="s">
        <v>106</v>
      </c>
      <c r="G24" s="30">
        <f>J60</f>
        <v>1851698</v>
      </c>
      <c r="H24" s="31" t="s">
        <v>97</v>
      </c>
      <c r="I24" s="2"/>
      <c r="M24" s="17" t="s">
        <v>257</v>
      </c>
      <c r="N24" s="25"/>
      <c r="O24" s="25"/>
    </row>
    <row r="25" spans="1:15">
      <c r="A25" s="45" t="s">
        <v>107</v>
      </c>
      <c r="B25" s="45"/>
      <c r="C25" s="45"/>
      <c r="D25" s="46"/>
      <c r="E25" s="47"/>
      <c r="F25" s="29" t="s">
        <v>99</v>
      </c>
      <c r="G25" s="30">
        <v>0</v>
      </c>
      <c r="H25" s="31">
        <f>G24-250000</f>
        <v>1601698</v>
      </c>
      <c r="I25" s="2"/>
      <c r="N25" s="2"/>
      <c r="O25" s="2"/>
    </row>
    <row r="26" spans="1:15">
      <c r="A26" s="45" t="s">
        <v>108</v>
      </c>
      <c r="B26" s="45" t="s">
        <v>109</v>
      </c>
      <c r="C26" s="45" t="s">
        <v>110</v>
      </c>
      <c r="D26" s="46" t="s">
        <v>111</v>
      </c>
      <c r="E26" s="2">
        <v>9</v>
      </c>
      <c r="F26" s="29" t="s">
        <v>102</v>
      </c>
      <c r="G26" s="30">
        <v>25000</v>
      </c>
      <c r="H26" s="31">
        <f>H25-250000</f>
        <v>1351698</v>
      </c>
      <c r="I26" s="2"/>
      <c r="N26" s="2"/>
      <c r="O26" s="2"/>
    </row>
    <row r="27" spans="1:15">
      <c r="A27" s="41" t="s">
        <v>112</v>
      </c>
      <c r="B27" s="43"/>
      <c r="C27" s="41">
        <v>12</v>
      </c>
      <c r="D27" s="43"/>
      <c r="E27" s="2" t="s">
        <v>621</v>
      </c>
      <c r="F27" s="29" t="s">
        <v>103</v>
      </c>
      <c r="G27" s="30">
        <v>100000</v>
      </c>
      <c r="H27" s="31">
        <f>H26-500000</f>
        <v>851698</v>
      </c>
      <c r="I27" s="2"/>
      <c r="J27" s="2"/>
      <c r="N27" s="2"/>
      <c r="O27" s="2"/>
    </row>
    <row r="28" spans="1:15">
      <c r="A28" s="42" t="s">
        <v>114</v>
      </c>
      <c r="B28" s="61">
        <v>60000</v>
      </c>
      <c r="C28" s="48">
        <v>5000</v>
      </c>
      <c r="D28" s="60" t="s">
        <v>115</v>
      </c>
      <c r="E28" s="43">
        <v>0</v>
      </c>
      <c r="F28" s="29" t="s">
        <v>113</v>
      </c>
      <c r="G28" s="30">
        <f>H27*0.3</f>
        <v>255509.4</v>
      </c>
      <c r="H28" s="31"/>
      <c r="I28" s="2"/>
      <c r="J28" s="2"/>
      <c r="N28" s="2"/>
      <c r="O28" s="2"/>
    </row>
    <row r="29" spans="1:15">
      <c r="A29" s="42" t="s">
        <v>116</v>
      </c>
      <c r="B29" s="48">
        <v>28800</v>
      </c>
      <c r="C29" s="48">
        <f>B29/C27</f>
        <v>2400</v>
      </c>
      <c r="D29" s="49" t="s">
        <v>301</v>
      </c>
      <c r="E29" s="43">
        <f>2400*E26</f>
        <v>21600</v>
      </c>
      <c r="F29" s="50" t="s">
        <v>105</v>
      </c>
      <c r="G29" s="51">
        <f>G26+G27+G28</f>
        <v>380509.4</v>
      </c>
      <c r="H29" s="52"/>
      <c r="I29" s="2"/>
      <c r="J29" s="2"/>
      <c r="N29" s="2"/>
      <c r="O29" s="2"/>
    </row>
    <row r="30" spans="1:15">
      <c r="A30" s="53" t="s">
        <v>117</v>
      </c>
      <c r="B30" s="48">
        <v>12000</v>
      </c>
      <c r="C30" s="48">
        <v>1000</v>
      </c>
      <c r="D30" s="49" t="s">
        <v>118</v>
      </c>
      <c r="E30" s="43">
        <f>9000</f>
        <v>9000</v>
      </c>
      <c r="F30" s="15"/>
      <c r="H30" s="15"/>
      <c r="I30" s="2"/>
      <c r="J30" s="2"/>
      <c r="N30" s="2"/>
      <c r="O30" s="2"/>
    </row>
    <row r="31" spans="1:15">
      <c r="A31" s="43" t="s">
        <v>119</v>
      </c>
      <c r="B31" s="48">
        <v>24000</v>
      </c>
      <c r="C31" s="48">
        <v>2000</v>
      </c>
      <c r="D31" s="49" t="s">
        <v>118</v>
      </c>
      <c r="E31" s="43">
        <v>18000</v>
      </c>
      <c r="F31" s="15"/>
      <c r="H31" s="15"/>
      <c r="I31" s="2"/>
      <c r="J31" s="2"/>
      <c r="N31" s="2"/>
      <c r="O31" s="2"/>
    </row>
    <row r="32" spans="1:15">
      <c r="A32" s="53" t="s">
        <v>120</v>
      </c>
      <c r="B32" s="48">
        <v>12000</v>
      </c>
      <c r="C32" s="48">
        <v>1000</v>
      </c>
      <c r="D32" s="49" t="s">
        <v>118</v>
      </c>
      <c r="E32" s="43">
        <v>9000</v>
      </c>
      <c r="F32" s="2">
        <f>900*12</f>
        <v>10800</v>
      </c>
      <c r="G32" s="2"/>
      <c r="H32" s="2"/>
      <c r="I32" s="2"/>
      <c r="J32" s="2"/>
      <c r="N32" s="2"/>
      <c r="O32" s="2"/>
    </row>
    <row r="33" spans="1:15">
      <c r="A33" s="53" t="s">
        <v>121</v>
      </c>
      <c r="B33" s="48">
        <v>10800</v>
      </c>
      <c r="C33" s="48">
        <f>B33/C27</f>
        <v>900</v>
      </c>
      <c r="D33" s="49" t="s">
        <v>118</v>
      </c>
      <c r="E33" s="43">
        <v>0</v>
      </c>
      <c r="F33" s="2"/>
      <c r="G33" s="2"/>
      <c r="H33" s="2"/>
      <c r="I33" s="2"/>
      <c r="J33" s="2"/>
      <c r="N33" s="2"/>
      <c r="O33" s="2"/>
    </row>
    <row r="34" spans="1:15">
      <c r="A34" s="53" t="s">
        <v>122</v>
      </c>
      <c r="B34" s="48">
        <v>9600</v>
      </c>
      <c r="C34" s="48">
        <v>800</v>
      </c>
      <c r="D34" s="49" t="s">
        <v>123</v>
      </c>
      <c r="E34" s="43">
        <f>C34*E26</f>
        <v>7200</v>
      </c>
      <c r="F34" s="2"/>
      <c r="G34" s="2"/>
      <c r="H34" s="2"/>
      <c r="I34" s="2"/>
      <c r="J34" s="2"/>
      <c r="N34" s="2"/>
      <c r="O34" s="2"/>
    </row>
    <row r="35" spans="1:15">
      <c r="A35" s="53" t="s">
        <v>124</v>
      </c>
      <c r="B35" s="48">
        <f>C35*C27</f>
        <v>26400</v>
      </c>
      <c r="C35" s="48">
        <v>2200</v>
      </c>
      <c r="D35" s="54" t="s">
        <v>125</v>
      </c>
      <c r="E35" s="2"/>
      <c r="F35" s="2" t="s">
        <v>126</v>
      </c>
      <c r="G35" s="2"/>
      <c r="H35" s="2"/>
      <c r="I35" s="2"/>
      <c r="J35" s="2"/>
      <c r="N35" s="2"/>
      <c r="O35" s="2"/>
    </row>
    <row r="36" spans="1:15">
      <c r="A36" s="41" t="s">
        <v>127</v>
      </c>
      <c r="B36" s="55">
        <f>SUM(B28:B35)</f>
        <v>183600</v>
      </c>
      <c r="C36" s="43"/>
      <c r="D36" s="43"/>
      <c r="E36" s="2"/>
      <c r="F36" s="2" t="s">
        <v>128</v>
      </c>
      <c r="G36" s="2"/>
      <c r="H36" s="2"/>
      <c r="I36" s="2"/>
      <c r="J36" s="2"/>
      <c r="K36" s="28"/>
      <c r="L36" s="2"/>
      <c r="M36" s="2"/>
      <c r="N36" s="2"/>
      <c r="O36" s="2"/>
    </row>
    <row r="37" spans="1:15">
      <c r="A37" s="41"/>
      <c r="B37" s="43"/>
      <c r="C37" s="43"/>
      <c r="D37" s="43"/>
      <c r="E37" s="2"/>
      <c r="F37" s="2"/>
      <c r="G37" s="2"/>
      <c r="H37" s="2"/>
      <c r="I37" s="2"/>
      <c r="J37" s="2"/>
      <c r="K37" s="28"/>
      <c r="L37" s="2"/>
      <c r="M37" s="2"/>
      <c r="N37" s="2"/>
      <c r="O37" s="2"/>
    </row>
    <row r="38" spans="1:15">
      <c r="A38" s="41"/>
      <c r="B38" s="43"/>
      <c r="C38" s="43"/>
      <c r="D38" s="43"/>
      <c r="E38" s="2"/>
      <c r="F38" s="2"/>
      <c r="G38" s="2"/>
      <c r="H38" s="2"/>
      <c r="I38" s="2"/>
      <c r="J38" s="2"/>
      <c r="K38" s="28"/>
      <c r="L38" s="2"/>
      <c r="M38" s="2"/>
      <c r="N38" s="2"/>
      <c r="O38" s="2"/>
    </row>
    <row r="39" spans="1:15">
      <c r="A39" s="2"/>
      <c r="B39" s="2"/>
      <c r="C39" s="2"/>
      <c r="D39" s="2"/>
      <c r="E39" s="2"/>
      <c r="F39" s="2"/>
      <c r="G39" s="2"/>
      <c r="H39" s="2"/>
      <c r="I39" s="2"/>
      <c r="J39" s="2"/>
      <c r="K39" s="28"/>
      <c r="L39" s="2"/>
      <c r="M39" s="2"/>
      <c r="N39" s="2"/>
      <c r="O39" s="2"/>
    </row>
    <row r="40" spans="1:15" ht="15">
      <c r="A40" s="2"/>
      <c r="B40" s="2"/>
      <c r="C40" s="2"/>
      <c r="D40" s="2"/>
      <c r="E40" s="2"/>
      <c r="F40" s="3" t="s">
        <v>215</v>
      </c>
      <c r="H40" s="2"/>
      <c r="I40" s="2"/>
      <c r="J40" s="2"/>
      <c r="K40" s="69" t="s">
        <v>236</v>
      </c>
      <c r="L40" s="2"/>
      <c r="M40" s="2"/>
      <c r="N40" s="2"/>
      <c r="O40" s="2"/>
    </row>
    <row r="41" spans="1:15">
      <c r="A41" s="41" t="s">
        <v>129</v>
      </c>
      <c r="B41" s="43"/>
      <c r="C41" s="43"/>
      <c r="D41" s="56"/>
      <c r="E41" s="2"/>
      <c r="F41" s="43"/>
      <c r="G41" s="41" t="s">
        <v>187</v>
      </c>
      <c r="H41" s="41" t="s">
        <v>188</v>
      </c>
      <c r="I41" s="43"/>
      <c r="J41" s="43"/>
      <c r="K41" s="70"/>
      <c r="L41" s="65"/>
      <c r="M41" s="65"/>
      <c r="N41" s="2"/>
      <c r="O41" s="2"/>
    </row>
    <row r="42" spans="1:15">
      <c r="A42" s="41" t="s">
        <v>130</v>
      </c>
      <c r="B42" s="57"/>
      <c r="C42" s="57" t="s">
        <v>616</v>
      </c>
      <c r="D42" s="46"/>
      <c r="E42" s="2"/>
      <c r="F42" s="41" t="s">
        <v>186</v>
      </c>
      <c r="G42" s="41">
        <v>571334</v>
      </c>
      <c r="H42" s="41">
        <v>1881544</v>
      </c>
      <c r="I42" s="43"/>
      <c r="J42" s="41">
        <f>G42+H42</f>
        <v>2452878</v>
      </c>
      <c r="K42" s="70"/>
      <c r="L42" s="65" t="s">
        <v>218</v>
      </c>
      <c r="M42" s="65">
        <v>2001359</v>
      </c>
      <c r="N42" s="2"/>
      <c r="O42" s="2"/>
    </row>
    <row r="43" spans="1:15">
      <c r="A43" s="43" t="s">
        <v>21</v>
      </c>
      <c r="B43" s="43">
        <v>50000</v>
      </c>
      <c r="C43" s="57"/>
      <c r="D43" s="54"/>
      <c r="E43" s="2"/>
      <c r="F43" s="43" t="s">
        <v>189</v>
      </c>
      <c r="G43" s="43">
        <v>151124</v>
      </c>
      <c r="H43" s="43">
        <v>219495</v>
      </c>
      <c r="I43" s="43" t="s">
        <v>207</v>
      </c>
      <c r="J43" s="43">
        <f>G43+H43</f>
        <v>370619</v>
      </c>
      <c r="K43" s="70"/>
      <c r="L43" s="65"/>
      <c r="M43" s="65"/>
      <c r="N43" s="2"/>
      <c r="O43" s="2"/>
    </row>
    <row r="44" spans="1:15">
      <c r="A44" s="43" t="s">
        <v>131</v>
      </c>
      <c r="B44" s="43"/>
      <c r="C44" s="174">
        <v>150000</v>
      </c>
      <c r="D44" s="54" t="s">
        <v>620</v>
      </c>
      <c r="E44" s="2"/>
      <c r="F44" s="43" t="s">
        <v>190</v>
      </c>
      <c r="G44" s="43">
        <f>G42-G43</f>
        <v>420210</v>
      </c>
      <c r="H44" s="43">
        <f>H42-H43</f>
        <v>1662049</v>
      </c>
      <c r="I44" s="43"/>
      <c r="J44" s="43">
        <f>G44+H44</f>
        <v>2082259</v>
      </c>
      <c r="K44" s="70"/>
      <c r="L44" s="65"/>
      <c r="M44" s="65"/>
      <c r="N44" s="2"/>
      <c r="O44" s="2"/>
    </row>
    <row r="45" spans="1:15">
      <c r="A45" s="43" t="s">
        <v>132</v>
      </c>
      <c r="B45" s="43">
        <v>14396</v>
      </c>
      <c r="C45" s="57"/>
      <c r="D45" s="49"/>
      <c r="E45" s="2"/>
      <c r="F45" s="43"/>
      <c r="G45" s="43"/>
      <c r="H45" s="43"/>
      <c r="I45" s="43"/>
      <c r="J45" s="43"/>
      <c r="K45" s="70"/>
      <c r="L45" s="65"/>
      <c r="M45" s="65"/>
      <c r="N45" s="2"/>
      <c r="O45" s="2"/>
    </row>
    <row r="46" spans="1:15">
      <c r="A46" s="43" t="s">
        <v>14</v>
      </c>
      <c r="B46" s="43">
        <v>0</v>
      </c>
      <c r="C46" s="57"/>
      <c r="D46" s="49"/>
      <c r="E46" s="2"/>
      <c r="F46" s="43" t="s">
        <v>192</v>
      </c>
      <c r="G46" s="43">
        <v>0</v>
      </c>
      <c r="H46" s="43">
        <v>1900</v>
      </c>
      <c r="I46" s="43" t="s">
        <v>206</v>
      </c>
      <c r="J46" s="43">
        <v>1900</v>
      </c>
      <c r="K46" s="70"/>
      <c r="L46" s="65"/>
      <c r="M46" s="65"/>
      <c r="N46" s="2"/>
      <c r="O46" s="2"/>
    </row>
    <row r="47" spans="1:15">
      <c r="A47" s="41" t="s">
        <v>20</v>
      </c>
      <c r="B47" s="41">
        <f>SUM(B43:B46)</f>
        <v>64396</v>
      </c>
      <c r="C47" s="57"/>
      <c r="D47" s="58"/>
      <c r="E47" s="2"/>
      <c r="F47" s="43"/>
      <c r="G47" s="43"/>
      <c r="H47" s="43"/>
      <c r="I47" s="43"/>
      <c r="J47" s="43"/>
      <c r="K47" s="70"/>
      <c r="L47" s="65"/>
      <c r="M47" s="65"/>
      <c r="N47" s="2"/>
      <c r="O47" s="2"/>
    </row>
    <row r="48" spans="1:15">
      <c r="A48" s="41" t="s">
        <v>45</v>
      </c>
      <c r="B48" s="80">
        <f>B47-150000</f>
        <v>-85604</v>
      </c>
      <c r="C48" s="57"/>
      <c r="D48" s="58"/>
      <c r="E48" s="2"/>
      <c r="F48" s="41" t="s">
        <v>191</v>
      </c>
      <c r="G48" s="41">
        <f>G44-G46</f>
        <v>420210</v>
      </c>
      <c r="H48" s="41">
        <f>H44-H46</f>
        <v>1660149</v>
      </c>
      <c r="I48" s="43"/>
      <c r="J48" s="41">
        <f>J44-J46</f>
        <v>2080359</v>
      </c>
      <c r="K48" s="70" t="s">
        <v>226</v>
      </c>
      <c r="L48" s="65" t="s">
        <v>219</v>
      </c>
      <c r="M48" s="65">
        <v>2001359</v>
      </c>
      <c r="N48" s="2"/>
      <c r="O48" s="2"/>
    </row>
    <row r="49" spans="1:15">
      <c r="A49" s="59"/>
      <c r="B49" s="56"/>
      <c r="C49" s="57"/>
      <c r="D49" s="56"/>
      <c r="E49" s="2"/>
      <c r="F49" s="43" t="s">
        <v>208</v>
      </c>
      <c r="G49" s="43">
        <v>0</v>
      </c>
      <c r="H49" s="43">
        <v>0</v>
      </c>
      <c r="I49" s="43"/>
      <c r="J49" s="43"/>
      <c r="K49" s="70"/>
      <c r="L49" s="65"/>
      <c r="M49" s="65"/>
      <c r="N49" s="2"/>
      <c r="O49" s="2"/>
    </row>
    <row r="50" spans="1:15">
      <c r="A50" s="41" t="s">
        <v>133</v>
      </c>
      <c r="B50" s="41">
        <v>50000</v>
      </c>
      <c r="C50" s="174">
        <v>50000</v>
      </c>
      <c r="D50" s="54" t="s">
        <v>620</v>
      </c>
      <c r="E50" s="2"/>
      <c r="F50" s="43" t="s">
        <v>193</v>
      </c>
      <c r="G50" s="43"/>
      <c r="H50" s="43"/>
      <c r="I50" s="43"/>
      <c r="J50" s="43"/>
      <c r="K50" s="70"/>
      <c r="L50" s="65"/>
      <c r="M50" s="65"/>
      <c r="N50" s="2"/>
      <c r="O50" s="2"/>
    </row>
    <row r="51" spans="1:15">
      <c r="A51" s="59"/>
      <c r="B51" s="56"/>
      <c r="C51" s="57"/>
      <c r="D51" s="56"/>
      <c r="E51" s="2"/>
      <c r="F51" s="43" t="s">
        <v>194</v>
      </c>
      <c r="G51" s="43">
        <v>6155</v>
      </c>
      <c r="H51" s="43">
        <v>150000</v>
      </c>
      <c r="I51" s="43" t="s">
        <v>198</v>
      </c>
      <c r="J51" s="43"/>
      <c r="K51" s="70"/>
      <c r="L51" s="65" t="s">
        <v>220</v>
      </c>
      <c r="M51" s="65">
        <v>150000</v>
      </c>
      <c r="N51" s="2"/>
      <c r="O51" s="2"/>
    </row>
    <row r="52" spans="1:15">
      <c r="A52" s="41" t="s">
        <v>134</v>
      </c>
      <c r="B52" s="59"/>
      <c r="C52" s="57"/>
      <c r="D52" s="54"/>
      <c r="E52" s="2"/>
      <c r="F52" s="43" t="s">
        <v>196</v>
      </c>
      <c r="G52" s="43">
        <v>0</v>
      </c>
      <c r="H52" s="43"/>
      <c r="I52" s="43"/>
      <c r="J52" s="43"/>
      <c r="K52" s="70"/>
      <c r="L52" s="65" t="s">
        <v>221</v>
      </c>
      <c r="M52" s="65">
        <v>50000</v>
      </c>
      <c r="N52" s="2"/>
      <c r="O52" s="2"/>
    </row>
    <row r="53" spans="1:15">
      <c r="A53" s="43" t="s">
        <v>135</v>
      </c>
      <c r="B53" s="43">
        <v>43000</v>
      </c>
      <c r="C53" s="57"/>
      <c r="D53" s="60"/>
      <c r="E53" s="2"/>
      <c r="F53" s="43" t="s">
        <v>195</v>
      </c>
      <c r="G53" s="43">
        <v>0</v>
      </c>
      <c r="H53" s="43"/>
      <c r="I53" s="43"/>
      <c r="J53" s="43"/>
      <c r="K53" s="70"/>
      <c r="L53" s="65" t="s">
        <v>222</v>
      </c>
      <c r="M53" s="65">
        <v>22886</v>
      </c>
      <c r="N53" s="2"/>
      <c r="O53" s="2"/>
    </row>
    <row r="54" spans="1:15">
      <c r="A54" s="43" t="s">
        <v>136</v>
      </c>
      <c r="B54" s="43">
        <v>20000</v>
      </c>
      <c r="C54" s="57"/>
      <c r="D54" s="60"/>
      <c r="E54" s="2"/>
      <c r="F54" s="43" t="s">
        <v>209</v>
      </c>
      <c r="G54" s="43">
        <v>0</v>
      </c>
      <c r="H54" s="43">
        <v>50000</v>
      </c>
      <c r="I54" s="43"/>
      <c r="J54" s="43"/>
      <c r="K54" s="70"/>
      <c r="L54" s="65" t="s">
        <v>223</v>
      </c>
      <c r="M54" s="66">
        <v>40000</v>
      </c>
      <c r="N54" s="2"/>
      <c r="O54" s="2"/>
    </row>
    <row r="55" spans="1:15">
      <c r="A55" s="43"/>
      <c r="B55" s="43"/>
      <c r="C55" s="56"/>
      <c r="D55" s="49"/>
      <c r="E55" s="2"/>
      <c r="F55" s="43" t="s">
        <v>210</v>
      </c>
      <c r="G55" s="43">
        <v>0</v>
      </c>
      <c r="H55" s="43">
        <v>22886</v>
      </c>
      <c r="I55" s="43" t="s">
        <v>211</v>
      </c>
      <c r="J55" s="43"/>
      <c r="K55" s="70"/>
      <c r="L55" s="65"/>
      <c r="M55" s="65"/>
      <c r="N55" s="2"/>
      <c r="O55" s="2"/>
    </row>
    <row r="56" spans="1:15">
      <c r="A56" s="41" t="s">
        <v>137</v>
      </c>
      <c r="B56" s="43">
        <v>0</v>
      </c>
      <c r="C56" s="56"/>
      <c r="D56" s="60"/>
      <c r="E56" s="2"/>
      <c r="F56" s="43" t="s">
        <v>197</v>
      </c>
      <c r="G56" s="43">
        <v>5775</v>
      </c>
      <c r="H56" s="43">
        <v>0</v>
      </c>
      <c r="I56" s="43" t="s">
        <v>206</v>
      </c>
      <c r="J56" s="43"/>
      <c r="K56" s="70"/>
      <c r="L56" s="65"/>
      <c r="M56" s="65"/>
      <c r="N56" s="2"/>
      <c r="O56" s="2"/>
    </row>
    <row r="57" spans="1:15">
      <c r="A57" s="43"/>
      <c r="B57" s="43"/>
      <c r="C57" s="56"/>
      <c r="D57" s="49"/>
      <c r="E57" s="2"/>
      <c r="F57" s="43"/>
      <c r="G57" s="43"/>
      <c r="H57" s="43"/>
      <c r="I57" s="43"/>
      <c r="J57" s="43"/>
      <c r="K57" s="70"/>
      <c r="L57" s="65"/>
      <c r="M57" s="65"/>
      <c r="N57" s="2"/>
      <c r="O57" s="2"/>
    </row>
    <row r="58" spans="1:15">
      <c r="A58" s="41" t="s">
        <v>138</v>
      </c>
      <c r="B58" s="55">
        <f>B47+B50+B53+B54</f>
        <v>177396</v>
      </c>
      <c r="C58" s="56"/>
      <c r="D58" s="56"/>
      <c r="E58" s="2"/>
      <c r="F58" s="41" t="s">
        <v>199</v>
      </c>
      <c r="G58" s="41">
        <f>SUM(G51:G56)</f>
        <v>11930</v>
      </c>
      <c r="H58" s="41">
        <f>SUM(H51:H56)</f>
        <v>222886</v>
      </c>
      <c r="I58" s="43"/>
      <c r="J58" s="43">
        <f>H58+G56</f>
        <v>228661</v>
      </c>
      <c r="K58" s="70" t="s">
        <v>225</v>
      </c>
      <c r="L58" s="65" t="s">
        <v>224</v>
      </c>
      <c r="M58" s="65">
        <v>262886</v>
      </c>
      <c r="N58" s="2"/>
      <c r="O58" s="2"/>
    </row>
    <row r="59" spans="1:15">
      <c r="A59" s="56"/>
      <c r="B59" s="43"/>
      <c r="C59" s="43"/>
      <c r="D59" s="43"/>
      <c r="E59" s="2"/>
      <c r="F59" s="43"/>
      <c r="G59" s="43"/>
      <c r="H59" s="43"/>
      <c r="I59" s="43"/>
      <c r="J59" s="43"/>
      <c r="K59" s="70"/>
      <c r="L59" s="65"/>
      <c r="M59" s="65"/>
      <c r="N59" s="2"/>
      <c r="O59" s="2"/>
    </row>
    <row r="60" spans="1:15">
      <c r="A60" s="56"/>
      <c r="B60" s="43"/>
      <c r="C60" s="43"/>
      <c r="D60" s="43"/>
      <c r="E60" s="2"/>
      <c r="F60" s="41" t="s">
        <v>200</v>
      </c>
      <c r="G60" s="41">
        <f>G48-G58</f>
        <v>408280</v>
      </c>
      <c r="H60" s="41">
        <f>H48-H58</f>
        <v>1437263</v>
      </c>
      <c r="I60" s="43"/>
      <c r="J60" s="41">
        <f>J48-J58</f>
        <v>1851698</v>
      </c>
      <c r="K60" s="70" t="s">
        <v>227</v>
      </c>
      <c r="L60" s="65" t="s">
        <v>228</v>
      </c>
      <c r="M60" s="65">
        <f>M48-M58</f>
        <v>1738473</v>
      </c>
      <c r="N60" s="2"/>
      <c r="O60" s="2"/>
    </row>
    <row r="61" spans="1:15">
      <c r="A61" s="41" t="s">
        <v>139</v>
      </c>
      <c r="B61" s="56"/>
      <c r="C61" s="56"/>
      <c r="D61" s="56"/>
      <c r="E61" s="2"/>
      <c r="F61" s="43" t="s">
        <v>201</v>
      </c>
      <c r="G61" s="43">
        <v>7914</v>
      </c>
      <c r="H61" s="43">
        <v>243679</v>
      </c>
      <c r="I61" s="43"/>
      <c r="J61" s="43"/>
      <c r="K61" s="70" t="s">
        <v>229</v>
      </c>
      <c r="L61" s="65" t="s">
        <v>230</v>
      </c>
      <c r="M61" s="65">
        <v>334041</v>
      </c>
      <c r="N61" s="2"/>
      <c r="O61" s="2"/>
    </row>
    <row r="62" spans="1:15">
      <c r="A62" s="43" t="s">
        <v>140</v>
      </c>
      <c r="B62" s="43" t="s">
        <v>141</v>
      </c>
      <c r="C62" s="43"/>
      <c r="D62" s="43"/>
      <c r="E62" s="2"/>
      <c r="F62" s="43" t="s">
        <v>202</v>
      </c>
      <c r="G62" s="43">
        <v>237</v>
      </c>
      <c r="H62" s="43">
        <v>7310</v>
      </c>
      <c r="I62" s="43"/>
      <c r="J62" s="43"/>
      <c r="K62" s="70" t="s">
        <v>231</v>
      </c>
      <c r="L62" s="65" t="s">
        <v>232</v>
      </c>
      <c r="M62" s="65">
        <v>10021</v>
      </c>
      <c r="N62" s="2"/>
      <c r="O62" s="2"/>
    </row>
    <row r="63" spans="1:15">
      <c r="A63" s="43" t="s">
        <v>142</v>
      </c>
      <c r="B63" s="43"/>
      <c r="C63" s="43"/>
      <c r="D63" s="43"/>
      <c r="E63" s="2"/>
      <c r="F63" s="43" t="s">
        <v>205</v>
      </c>
      <c r="G63" s="43">
        <f>G61+G62</f>
        <v>8151</v>
      </c>
      <c r="H63" s="43">
        <f>H61+H62</f>
        <v>250989</v>
      </c>
      <c r="I63" s="43"/>
      <c r="J63" s="43"/>
      <c r="K63" s="70"/>
      <c r="L63" s="65"/>
      <c r="M63" s="65">
        <f>M61+M62</f>
        <v>344062</v>
      </c>
      <c r="N63" s="2"/>
      <c r="O63" s="2"/>
    </row>
    <row r="64" spans="1:15" ht="15">
      <c r="A64" s="43" t="s">
        <v>143</v>
      </c>
      <c r="B64" s="43"/>
      <c r="C64" s="43"/>
      <c r="D64" s="43"/>
      <c r="E64" s="2"/>
      <c r="F64" s="43" t="s">
        <v>203</v>
      </c>
      <c r="G64" s="43">
        <v>0</v>
      </c>
      <c r="H64" s="43">
        <v>0</v>
      </c>
      <c r="I64" s="43" t="s">
        <v>206</v>
      </c>
      <c r="J64" s="43"/>
      <c r="K64" s="70"/>
      <c r="L64" s="65"/>
      <c r="M64" s="65"/>
      <c r="N64" s="2"/>
      <c r="O64" s="2"/>
    </row>
    <row r="65" spans="1:15">
      <c r="A65" s="2"/>
      <c r="B65" s="2"/>
      <c r="C65" s="2"/>
      <c r="D65" s="2"/>
      <c r="E65" s="2"/>
      <c r="F65" s="43"/>
      <c r="G65" s="43"/>
      <c r="H65" s="43"/>
      <c r="I65" s="43"/>
      <c r="J65" s="43"/>
      <c r="K65" s="70" t="s">
        <v>233</v>
      </c>
      <c r="L65" s="65"/>
      <c r="M65" s="65">
        <v>3396</v>
      </c>
      <c r="N65" s="2"/>
      <c r="O65" s="2"/>
    </row>
    <row r="66" spans="1:15">
      <c r="A66" s="41" t="s">
        <v>144</v>
      </c>
      <c r="B66" s="43"/>
      <c r="C66" s="43"/>
      <c r="D66" s="43"/>
      <c r="E66" s="2"/>
      <c r="F66" s="41" t="s">
        <v>204</v>
      </c>
      <c r="G66" s="41">
        <f>G63-G64</f>
        <v>8151</v>
      </c>
      <c r="H66" s="41">
        <f>H63-H64</f>
        <v>250989</v>
      </c>
      <c r="I66" s="43"/>
      <c r="J66" s="43"/>
      <c r="K66" s="70" t="s">
        <v>234</v>
      </c>
      <c r="L66" s="65"/>
      <c r="M66" s="65">
        <v>4284</v>
      </c>
      <c r="N66" s="2"/>
      <c r="O66" s="2"/>
    </row>
    <row r="67" spans="1:15">
      <c r="A67" s="43" t="s">
        <v>145</v>
      </c>
      <c r="B67" s="48">
        <f>C67*12</f>
        <v>336000</v>
      </c>
      <c r="C67" s="43">
        <v>28000</v>
      </c>
      <c r="D67" s="49" t="s">
        <v>118</v>
      </c>
      <c r="E67" s="2"/>
      <c r="F67" s="41" t="s">
        <v>212</v>
      </c>
      <c r="G67" s="41">
        <v>8151</v>
      </c>
      <c r="H67" s="41">
        <v>250989</v>
      </c>
      <c r="I67" s="43"/>
      <c r="J67" s="43"/>
      <c r="K67" s="70"/>
      <c r="L67" s="65"/>
      <c r="M67" s="65"/>
      <c r="N67" s="2"/>
      <c r="O67" s="2"/>
    </row>
    <row r="68" spans="1:15">
      <c r="A68" s="2"/>
      <c r="B68" s="2"/>
      <c r="C68" s="2"/>
      <c r="D68" s="2"/>
      <c r="E68" s="2"/>
      <c r="F68" s="41"/>
      <c r="G68" s="41"/>
      <c r="H68" s="41"/>
      <c r="I68" s="43"/>
      <c r="J68" s="43"/>
      <c r="K68" s="71" t="s">
        <v>235</v>
      </c>
      <c r="L68" s="67"/>
      <c r="M68" s="67">
        <f>M63+M65+M66</f>
        <v>351742</v>
      </c>
      <c r="N68" s="2"/>
      <c r="O68" s="2"/>
    </row>
    <row r="69" spans="1:15">
      <c r="A69" s="2"/>
      <c r="B69" s="2"/>
      <c r="C69" s="2"/>
      <c r="D69" s="2"/>
      <c r="E69" s="2"/>
      <c r="F69" s="41" t="s">
        <v>213</v>
      </c>
      <c r="G69" s="41">
        <f>G66-G67</f>
        <v>0</v>
      </c>
      <c r="H69" s="41">
        <f>H66-H67</f>
        <v>0</v>
      </c>
      <c r="I69" s="43"/>
      <c r="J69" s="43"/>
      <c r="K69" s="70"/>
      <c r="L69" s="65"/>
      <c r="M69" s="65"/>
      <c r="N69" s="2"/>
      <c r="O69" s="2"/>
    </row>
    <row r="70" spans="1:15">
      <c r="A70" s="2"/>
      <c r="B70" s="2"/>
      <c r="C70" s="2"/>
      <c r="D70" s="2"/>
      <c r="E70" s="2"/>
      <c r="F70" s="41"/>
      <c r="G70" s="41"/>
      <c r="H70" s="41"/>
      <c r="I70" s="43"/>
      <c r="J70" s="43"/>
      <c r="K70" s="70" t="s">
        <v>237</v>
      </c>
      <c r="L70" s="65" t="s">
        <v>238</v>
      </c>
      <c r="M70" s="65">
        <v>8151</v>
      </c>
      <c r="N70" s="2"/>
      <c r="O70" s="2"/>
    </row>
    <row r="71" spans="1:15">
      <c r="A71" s="2"/>
      <c r="B71" s="2"/>
      <c r="C71" s="2"/>
      <c r="D71" s="2"/>
      <c r="E71" s="2"/>
      <c r="F71" s="41"/>
      <c r="G71" s="41"/>
      <c r="H71" s="41"/>
      <c r="I71" s="43"/>
      <c r="J71" s="43"/>
      <c r="K71" s="70" t="s">
        <v>188</v>
      </c>
      <c r="L71" s="65" t="s">
        <v>239</v>
      </c>
      <c r="M71" s="65">
        <v>250989</v>
      </c>
      <c r="N71" s="2"/>
      <c r="O71" s="2"/>
    </row>
    <row r="72" spans="1:15">
      <c r="A72" s="2"/>
      <c r="B72" s="2"/>
      <c r="C72" s="2"/>
      <c r="D72" s="2"/>
      <c r="E72" s="2"/>
      <c r="F72" s="41"/>
      <c r="G72" s="41" t="s">
        <v>214</v>
      </c>
      <c r="H72" s="41">
        <f>G66+H66</f>
        <v>259140</v>
      </c>
      <c r="I72" s="43"/>
      <c r="J72" s="43"/>
      <c r="K72" s="71" t="s">
        <v>240</v>
      </c>
      <c r="L72" s="67"/>
      <c r="M72" s="67">
        <f>M70+M71</f>
        <v>259140</v>
      </c>
      <c r="N72" s="2"/>
      <c r="O72" s="2"/>
    </row>
    <row r="73" spans="1:15">
      <c r="A73" s="2"/>
      <c r="B73" s="2"/>
      <c r="C73" s="2"/>
      <c r="D73" s="2"/>
      <c r="E73" s="2"/>
      <c r="F73" s="41"/>
      <c r="G73" s="41" t="s">
        <v>258</v>
      </c>
      <c r="H73" s="41">
        <v>36850</v>
      </c>
      <c r="I73" s="43"/>
      <c r="J73" s="43"/>
      <c r="K73" s="72"/>
      <c r="L73" s="68"/>
      <c r="M73" s="68"/>
      <c r="N73" s="2"/>
      <c r="O73" s="2"/>
    </row>
    <row r="74" spans="1:15">
      <c r="A74" s="2"/>
      <c r="B74" s="2"/>
      <c r="C74" s="2"/>
      <c r="D74" s="2"/>
      <c r="E74" s="2"/>
      <c r="F74" s="41"/>
      <c r="G74" s="41" t="s">
        <v>259</v>
      </c>
      <c r="H74" s="41">
        <f>H72+H73</f>
        <v>295990</v>
      </c>
      <c r="I74" s="43"/>
      <c r="J74" s="43"/>
      <c r="K74" s="72"/>
      <c r="L74" s="68"/>
      <c r="M74" s="68"/>
      <c r="N74" s="2"/>
      <c r="O74" s="2"/>
    </row>
    <row r="75" spans="1:15">
      <c r="A75" s="2"/>
      <c r="B75" s="2"/>
      <c r="C75" s="2"/>
      <c r="D75" s="2"/>
      <c r="E75" s="2"/>
      <c r="F75" s="41"/>
      <c r="G75" s="41" t="s">
        <v>260</v>
      </c>
      <c r="H75" s="41">
        <f>121369 - H73</f>
        <v>84519</v>
      </c>
      <c r="I75" s="41">
        <f>H75-9700</f>
        <v>74819</v>
      </c>
      <c r="J75" s="43"/>
      <c r="K75" s="72"/>
      <c r="L75" s="68"/>
      <c r="M75" s="68"/>
      <c r="N75" s="2"/>
      <c r="O75" s="2"/>
    </row>
    <row r="76" spans="1:15">
      <c r="A76" s="2"/>
      <c r="B76" s="2"/>
      <c r="C76" s="2"/>
      <c r="D76" s="2"/>
      <c r="E76" s="2"/>
      <c r="F76" s="41"/>
      <c r="G76" s="41"/>
      <c r="H76" s="43"/>
      <c r="I76" s="43"/>
      <c r="J76" s="43"/>
      <c r="K76" s="71" t="s">
        <v>241</v>
      </c>
      <c r="L76" s="67"/>
      <c r="M76" s="67">
        <f>M68-M72</f>
        <v>92602</v>
      </c>
      <c r="N76" s="2"/>
      <c r="O76" s="2"/>
    </row>
    <row r="77" spans="1:15">
      <c r="A77" s="2"/>
      <c r="B77" s="2"/>
      <c r="C77" s="2"/>
      <c r="D77" s="2"/>
      <c r="E77" s="2"/>
      <c r="F77" s="2"/>
      <c r="G77" s="2"/>
      <c r="H77" s="2"/>
      <c r="I77" s="2"/>
      <c r="J77" s="2"/>
      <c r="K77" s="72"/>
      <c r="L77" s="68"/>
      <c r="M77" s="68"/>
      <c r="N77" s="2"/>
      <c r="O77" s="2"/>
    </row>
    <row r="78" spans="1:15">
      <c r="I78" s="64"/>
      <c r="J78" s="64"/>
      <c r="K78" s="71"/>
      <c r="L78" s="67"/>
      <c r="M78" s="67"/>
    </row>
    <row r="79" spans="1:15">
      <c r="I79" s="64"/>
      <c r="J79" s="64"/>
      <c r="K79" s="71"/>
      <c r="L79" s="67"/>
      <c r="M79" s="67"/>
    </row>
    <row r="80" spans="1:15">
      <c r="I80" s="64"/>
      <c r="J80" s="64"/>
      <c r="K80" s="71" t="s">
        <v>245</v>
      </c>
      <c r="L80" s="67"/>
      <c r="M80" s="67"/>
    </row>
    <row r="81" spans="1:13">
      <c r="I81" s="64"/>
      <c r="J81" s="64"/>
      <c r="K81" s="71"/>
      <c r="L81" s="67"/>
      <c r="M81" s="67"/>
    </row>
    <row r="82" spans="1:13">
      <c r="I82" s="64"/>
      <c r="J82" s="64"/>
      <c r="K82" s="71" t="s">
        <v>242</v>
      </c>
      <c r="L82" s="67">
        <v>132700</v>
      </c>
      <c r="M82" s="67"/>
    </row>
    <row r="83" spans="1:13">
      <c r="I83" s="64"/>
      <c r="J83" s="64"/>
      <c r="K83" s="71" t="s">
        <v>243</v>
      </c>
      <c r="L83" s="67">
        <v>92602</v>
      </c>
      <c r="M83" s="67"/>
    </row>
    <row r="84" spans="1:13">
      <c r="I84" s="64"/>
      <c r="J84" s="64"/>
      <c r="K84" s="71"/>
      <c r="L84" s="67"/>
      <c r="M84" s="67"/>
    </row>
    <row r="85" spans="1:13">
      <c r="I85" s="64"/>
      <c r="J85" s="64"/>
      <c r="K85" s="71" t="s">
        <v>244</v>
      </c>
      <c r="L85" s="67">
        <f>L82-L83</f>
        <v>40098</v>
      </c>
      <c r="M85" s="67"/>
    </row>
    <row r="86" spans="1:13">
      <c r="I86" s="64"/>
      <c r="J86" s="64"/>
      <c r="K86" s="69"/>
      <c r="L86" s="64"/>
      <c r="M86" s="64"/>
    </row>
    <row r="87" spans="1:13" ht="15">
      <c r="A87" s="181"/>
    </row>
    <row r="91" spans="1:13" ht="15">
      <c r="A91" s="101" t="s">
        <v>365</v>
      </c>
      <c r="B91" s="63"/>
      <c r="C91" s="63"/>
      <c r="D91" s="63"/>
      <c r="E91" s="63"/>
      <c r="F91" s="63"/>
      <c r="J91" s="120" t="s">
        <v>1036</v>
      </c>
      <c r="K91" s="237"/>
    </row>
    <row r="92" spans="1:13" ht="15">
      <c r="A92" s="102"/>
      <c r="B92" s="101" t="s">
        <v>360</v>
      </c>
      <c r="C92" s="101" t="s">
        <v>361</v>
      </c>
      <c r="D92" s="101" t="s">
        <v>366</v>
      </c>
      <c r="E92" s="101" t="s">
        <v>362</v>
      </c>
      <c r="F92" s="101" t="s">
        <v>361</v>
      </c>
      <c r="J92" s="237" t="s">
        <v>1037</v>
      </c>
      <c r="K92" s="237">
        <v>1100</v>
      </c>
    </row>
    <row r="93" spans="1:13" ht="15">
      <c r="A93" s="102" t="s">
        <v>67</v>
      </c>
      <c r="B93" s="101">
        <v>6990</v>
      </c>
      <c r="C93" s="101">
        <v>6990</v>
      </c>
      <c r="D93" s="101" t="s">
        <v>367</v>
      </c>
      <c r="E93" s="101" t="s">
        <v>363</v>
      </c>
      <c r="F93" s="101" t="s">
        <v>364</v>
      </c>
      <c r="J93" s="237" t="s">
        <v>1038</v>
      </c>
      <c r="K93" s="237">
        <v>40</v>
      </c>
    </row>
    <row r="94" spans="1:13" ht="15">
      <c r="A94" s="102" t="s">
        <v>424</v>
      </c>
      <c r="B94" s="101">
        <v>6509</v>
      </c>
      <c r="C94" s="101">
        <v>6770</v>
      </c>
      <c r="D94" s="101" t="s">
        <v>664</v>
      </c>
      <c r="E94" s="101"/>
      <c r="F94" s="101" t="s">
        <v>663</v>
      </c>
      <c r="J94" s="237" t="s">
        <v>1039</v>
      </c>
      <c r="K94" s="237">
        <v>80</v>
      </c>
    </row>
    <row r="95" spans="1:13" ht="15">
      <c r="A95" s="102" t="s">
        <v>762</v>
      </c>
      <c r="B95" s="240"/>
      <c r="C95" s="240"/>
      <c r="D95" s="240"/>
      <c r="E95" s="240"/>
      <c r="F95" s="240"/>
      <c r="J95" s="237" t="s">
        <v>1040</v>
      </c>
      <c r="K95" s="237">
        <v>80</v>
      </c>
    </row>
    <row r="96" spans="1:13" ht="15">
      <c r="J96" s="237" t="s">
        <v>1041</v>
      </c>
      <c r="K96" s="237">
        <f>SUM(K92:K95)</f>
        <v>1300</v>
      </c>
    </row>
    <row r="97" spans="1:11" ht="15">
      <c r="J97" s="237" t="s">
        <v>1042</v>
      </c>
      <c r="K97" s="237">
        <v>400</v>
      </c>
    </row>
    <row r="98" spans="1:11" ht="15">
      <c r="A98" s="101" t="s">
        <v>368</v>
      </c>
      <c r="B98" s="63"/>
      <c r="C98" s="63"/>
      <c r="D98" s="63"/>
      <c r="E98" s="63"/>
      <c r="F98" s="63"/>
      <c r="J98" s="237" t="s">
        <v>1043</v>
      </c>
      <c r="K98" s="237">
        <v>150</v>
      </c>
    </row>
    <row r="99" spans="1:11" ht="15">
      <c r="A99" s="102"/>
      <c r="B99" s="101" t="s">
        <v>360</v>
      </c>
      <c r="C99" s="101" t="s">
        <v>361</v>
      </c>
      <c r="D99" s="101" t="s">
        <v>366</v>
      </c>
      <c r="E99" s="101" t="s">
        <v>362</v>
      </c>
      <c r="F99" s="101" t="s">
        <v>361</v>
      </c>
      <c r="J99" s="237" t="s">
        <v>1044</v>
      </c>
      <c r="K99" s="237">
        <v>100</v>
      </c>
    </row>
    <row r="100" spans="1:11" ht="15">
      <c r="A100" s="102" t="s">
        <v>67</v>
      </c>
      <c r="B100" s="101">
        <v>4470</v>
      </c>
      <c r="C100" s="101">
        <v>4470</v>
      </c>
      <c r="D100" s="101" t="s">
        <v>367</v>
      </c>
      <c r="E100" s="101" t="s">
        <v>363</v>
      </c>
      <c r="F100" s="101" t="s">
        <v>364</v>
      </c>
      <c r="J100" s="237" t="s">
        <v>580</v>
      </c>
      <c r="K100" s="237">
        <v>0</v>
      </c>
    </row>
    <row r="101" spans="1:11" ht="15">
      <c r="A101" s="102" t="s">
        <v>762</v>
      </c>
      <c r="B101" s="240"/>
      <c r="C101" s="240"/>
      <c r="D101" s="240"/>
      <c r="E101" s="240"/>
      <c r="F101" s="240"/>
      <c r="J101" s="237" t="s">
        <v>1045</v>
      </c>
      <c r="K101" s="237">
        <f>SUM(K96:K100)</f>
        <v>1950</v>
      </c>
    </row>
    <row r="103" spans="1:11">
      <c r="A103" s="41" t="s">
        <v>985</v>
      </c>
    </row>
    <row r="104" spans="1:11">
      <c r="A104" s="180" t="s">
        <v>19</v>
      </c>
      <c r="B104" s="180" t="s">
        <v>212</v>
      </c>
      <c r="C104" s="180" t="s">
        <v>361</v>
      </c>
      <c r="D104" s="180" t="s">
        <v>602</v>
      </c>
      <c r="E104" s="702" t="s">
        <v>307</v>
      </c>
      <c r="F104" s="703"/>
    </row>
    <row r="105" spans="1:11">
      <c r="A105" s="82" t="s">
        <v>182</v>
      </c>
      <c r="B105" s="81">
        <v>296000</v>
      </c>
      <c r="C105" s="81"/>
      <c r="D105" s="81">
        <v>296000</v>
      </c>
      <c r="E105" s="700" t="s">
        <v>305</v>
      </c>
      <c r="F105" s="701"/>
    </row>
    <row r="106" spans="1:11">
      <c r="A106" s="82" t="s">
        <v>67</v>
      </c>
      <c r="B106" s="81">
        <v>242836</v>
      </c>
      <c r="C106" s="82">
        <v>37070</v>
      </c>
      <c r="D106" s="81">
        <f>B106-C106</f>
        <v>205766</v>
      </c>
      <c r="E106" s="700"/>
      <c r="F106" s="701"/>
    </row>
    <row r="107" spans="1:11">
      <c r="A107" s="82" t="s">
        <v>424</v>
      </c>
      <c r="B107" s="81">
        <v>310436</v>
      </c>
      <c r="C107" s="82">
        <v>20280</v>
      </c>
      <c r="D107" s="81">
        <f>B107-C107</f>
        <v>290156</v>
      </c>
      <c r="E107" s="700" t="s">
        <v>660</v>
      </c>
      <c r="F107" s="701"/>
    </row>
    <row r="108" spans="1:11">
      <c r="A108" s="82" t="s">
        <v>762</v>
      </c>
      <c r="B108" s="81">
        <v>143505</v>
      </c>
      <c r="C108" s="82">
        <v>0</v>
      </c>
      <c r="D108" s="81">
        <f>B108-C108</f>
        <v>143505</v>
      </c>
      <c r="E108" s="700" t="s">
        <v>993</v>
      </c>
      <c r="F108" s="701"/>
    </row>
  </sheetData>
  <mergeCells count="5">
    <mergeCell ref="E107:F107"/>
    <mergeCell ref="E105:F105"/>
    <mergeCell ref="E106:F106"/>
    <mergeCell ref="E104:F104"/>
    <mergeCell ref="E108:F10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198</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Money</vt:lpstr>
      <vt:lpstr>Spain</vt:lpstr>
      <vt:lpstr>Coins</vt:lpstr>
      <vt:lpstr>PF</vt:lpstr>
      <vt:lpstr>MFs</vt:lpstr>
      <vt:lpstr>LogNew</vt:lpstr>
      <vt:lpstr>Zerodha</vt:lpstr>
      <vt:lpstr>INFO</vt:lpstr>
      <vt:lpstr>MFs Old</vt:lpstr>
      <vt:lpstr>Home</vt:lpstr>
      <vt:lpstr>PDM</vt:lpstr>
      <vt:lpstr>Papa</vt:lpstr>
      <vt:lpstr>BvR</vt:lpstr>
      <vt:lpstr>Rent 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Singh, Sheetal</dc:creator>
  <cp:lastModifiedBy>Singh, Sheetal (Cognizant)</cp:lastModifiedBy>
  <cp:revision>52</cp:revision>
  <dcterms:created xsi:type="dcterms:W3CDTF">2017-08-21T17:44:16Z</dcterms:created>
  <dcterms:modified xsi:type="dcterms:W3CDTF">2026-03-29T10:45:37Z</dcterms:modified>
</cp:coreProperties>
</file>